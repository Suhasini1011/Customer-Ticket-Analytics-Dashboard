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hidePivotFieldList="1" defaultThemeVersion="202300"/>
  <mc:AlternateContent xmlns:mc="http://schemas.openxmlformats.org/markup-compatibility/2006">
    <mc:Choice Requires="x15">
      <x15ac:absPath xmlns:x15ac="http://schemas.microsoft.com/office/spreadsheetml/2010/11/ac" url="/Users/suhasini/Library/Mobile Documents/com~apple~CloudDocs/Downloads/"/>
    </mc:Choice>
  </mc:AlternateContent>
  <xr:revisionPtr revIDLastSave="0" documentId="8_{0B2174B9-4955-6847-94CD-2B1764579AC7}" xr6:coauthVersionLast="47" xr6:coauthVersionMax="47" xr10:uidLastSave="{00000000-0000-0000-0000-000000000000}"/>
  <bookViews>
    <workbookView xWindow="560" yWindow="500" windowWidth="28040" windowHeight="16940" xr2:uid="{649C2D5B-C40B-6848-88A0-636166DEBAD0}"/>
  </bookViews>
  <sheets>
    <sheet name="customer_tickets" sheetId="2" r:id="rId1"/>
    <sheet name="DASHBOARD" sheetId="3" r:id="rId2"/>
    <sheet name="DATA" sheetId="4" r:id="rId3"/>
  </sheets>
  <definedNames>
    <definedName name="ExternalData_1" localSheetId="0" hidden="1">customer_tickets!$A$1:$O$1001</definedName>
    <definedName name="Slicer_Channel">#N/A</definedName>
    <definedName name="Slicer_Group">#N/A</definedName>
    <definedName name="Slicer_WeekNumb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 i="3" l="1"/>
  <c r="E5" i="3"/>
  <c r="C5"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E566B5-483C-1B44-91A5-5061D1CA8C88}" keepAlive="1" name="Query - customer_tickets_SIMPLE_PERFECT" description="Connection to the 'customer_tickets_SIMPLE_PERFECT' query in the workbook." type="5" refreshedVersion="8" background="1" saveData="1">
    <dbPr connection="Provider=Microsoft.Mashup.OleDb.1;Data Source=$Workbook$;Location=customer_tickets_SIMPLE_PERFECT;Extended Properties=&quot;&quot;" command="SELECT * FROM [customer_tickets_SIMPLE_PERFECT]"/>
  </connection>
</connections>
</file>

<file path=xl/sharedStrings.xml><?xml version="1.0" encoding="utf-8"?>
<sst xmlns="http://schemas.openxmlformats.org/spreadsheetml/2006/main" count="8047" uniqueCount="1048">
  <si>
    <t>TicketID</t>
  </si>
  <si>
    <t>CreatedDate</t>
  </si>
  <si>
    <t>Status</t>
  </si>
  <si>
    <t>Channel</t>
  </si>
  <si>
    <t>Group</t>
  </si>
  <si>
    <t>CSAT_Score</t>
  </si>
  <si>
    <t>CSAT_Category</t>
  </si>
  <si>
    <t>ResponseTimeHrs</t>
  </si>
  <si>
    <t>ResolutionTimeHrs</t>
  </si>
  <si>
    <t>WeekNumber</t>
  </si>
  <si>
    <t>SLA_Met</t>
  </si>
  <si>
    <t>Closed</t>
  </si>
  <si>
    <t>Email</t>
  </si>
  <si>
    <t>Tier1</t>
  </si>
  <si>
    <t>Positive</t>
  </si>
  <si>
    <t>No</t>
  </si>
  <si>
    <t>Phone</t>
  </si>
  <si>
    <t>Portal</t>
  </si>
  <si>
    <t>Escalations</t>
  </si>
  <si>
    <t>Yes</t>
  </si>
  <si>
    <t>Pending</t>
  </si>
  <si>
    <t>Tech</t>
  </si>
  <si>
    <t>Open</t>
  </si>
  <si>
    <t>Tier2</t>
  </si>
  <si>
    <t>Negative</t>
  </si>
  <si>
    <t>Billing</t>
  </si>
  <si>
    <t>Neutral</t>
  </si>
  <si>
    <t>SLA_Flag</t>
  </si>
  <si>
    <t>Resolution_Bucket</t>
  </si>
  <si>
    <t>Response_Speed_Bucket</t>
  </si>
  <si>
    <t>Tkt-0000</t>
  </si>
  <si>
    <t>Within 24h</t>
  </si>
  <si>
    <t>Slow</t>
  </si>
  <si>
    <t>Tkt-0001</t>
  </si>
  <si>
    <t>Tkt-0002</t>
  </si>
  <si>
    <t>Medium</t>
  </si>
  <si>
    <t>Tkt-0003</t>
  </si>
  <si>
    <t>Tkt-0004</t>
  </si>
  <si>
    <t>Tkt-0005</t>
  </si>
  <si>
    <t>Tkt-0006</t>
  </si>
  <si>
    <t>Tkt-0007</t>
  </si>
  <si>
    <t>Fast</t>
  </si>
  <si>
    <t>Tkt-0008</t>
  </si>
  <si>
    <t>Tkt-0009</t>
  </si>
  <si>
    <t>Tkt-0010</t>
  </si>
  <si>
    <t>Tkt-0011</t>
  </si>
  <si>
    <t>Tkt-0012</t>
  </si>
  <si>
    <t>Tkt-0013</t>
  </si>
  <si>
    <t>Tkt-0014</t>
  </si>
  <si>
    <t>Tkt-0015</t>
  </si>
  <si>
    <t>Tkt-0016</t>
  </si>
  <si>
    <t>Tkt-0017</t>
  </si>
  <si>
    <t>Tkt-0018</t>
  </si>
  <si>
    <t>Tkt-0019</t>
  </si>
  <si>
    <t>Tkt-0020</t>
  </si>
  <si>
    <t>24-48h</t>
  </si>
  <si>
    <t>Tkt-0021</t>
  </si>
  <si>
    <t>Tkt-0022</t>
  </si>
  <si>
    <t>Tkt-0023</t>
  </si>
  <si>
    <t>Tkt-0024</t>
  </si>
  <si>
    <t>Tkt-0025</t>
  </si>
  <si>
    <t>Tkt-0026</t>
  </si>
  <si>
    <t>Tkt-0027</t>
  </si>
  <si>
    <t>Tkt-0028</t>
  </si>
  <si>
    <t>Tkt-0029</t>
  </si>
  <si>
    <t>Tkt-0030</t>
  </si>
  <si>
    <t>Tkt-0031</t>
  </si>
  <si>
    <t>Tkt-0032</t>
  </si>
  <si>
    <t>Tkt-0033</t>
  </si>
  <si>
    <t>Tkt-0034</t>
  </si>
  <si>
    <t>Tkt-0035</t>
  </si>
  <si>
    <t>Tkt-0036</t>
  </si>
  <si>
    <t>Tkt-0037</t>
  </si>
  <si>
    <t>Tkt-0038</t>
  </si>
  <si>
    <t>Tkt-0039</t>
  </si>
  <si>
    <t>Tkt-0040</t>
  </si>
  <si>
    <t>Tkt-0041</t>
  </si>
  <si>
    <t>Tkt-0042</t>
  </si>
  <si>
    <t>Tkt-0043</t>
  </si>
  <si>
    <t>Tkt-0044</t>
  </si>
  <si>
    <t>Tkt-0045</t>
  </si>
  <si>
    <t>Tkt-0046</t>
  </si>
  <si>
    <t>Tkt-0047</t>
  </si>
  <si>
    <t>Tkt-0048</t>
  </si>
  <si>
    <t>Tkt-0049</t>
  </si>
  <si>
    <t>Tkt-0050</t>
  </si>
  <si>
    <t>Tkt-0051</t>
  </si>
  <si>
    <t>Tkt-0052</t>
  </si>
  <si>
    <t>Tkt-0053</t>
  </si>
  <si>
    <t>Tkt-0054</t>
  </si>
  <si>
    <t>Tkt-0055</t>
  </si>
  <si>
    <t>Tkt-0056</t>
  </si>
  <si>
    <t>Tkt-0057</t>
  </si>
  <si>
    <t>Tkt-0058</t>
  </si>
  <si>
    <t>Tkt-0059</t>
  </si>
  <si>
    <t>Tkt-0060</t>
  </si>
  <si>
    <t>Tkt-0061</t>
  </si>
  <si>
    <t>Tkt-0062</t>
  </si>
  <si>
    <t>Tkt-0063</t>
  </si>
  <si>
    <t>Tkt-0064</t>
  </si>
  <si>
    <t>Tkt-0065</t>
  </si>
  <si>
    <t>Tkt-0066</t>
  </si>
  <si>
    <t>Tkt-0067</t>
  </si>
  <si>
    <t>Tkt-0068</t>
  </si>
  <si>
    <t>Tkt-0069</t>
  </si>
  <si>
    <t>Tkt-0070</t>
  </si>
  <si>
    <t>Tkt-0071</t>
  </si>
  <si>
    <t>Tkt-0072</t>
  </si>
  <si>
    <t>Tkt-0073</t>
  </si>
  <si>
    <t>Tkt-0074</t>
  </si>
  <si>
    <t>Tkt-0075</t>
  </si>
  <si>
    <t>Tkt-0076</t>
  </si>
  <si>
    <t>Tkt-0077</t>
  </si>
  <si>
    <t>Tkt-0078</t>
  </si>
  <si>
    <t>Tkt-0079</t>
  </si>
  <si>
    <t>Tkt-0080</t>
  </si>
  <si>
    <t>Tkt-0081</t>
  </si>
  <si>
    <t>Tkt-0082</t>
  </si>
  <si>
    <t>Tkt-0083</t>
  </si>
  <si>
    <t>Tkt-0084</t>
  </si>
  <si>
    <t>Tkt-0085</t>
  </si>
  <si>
    <t>Tkt-0086</t>
  </si>
  <si>
    <t>Tkt-0087</t>
  </si>
  <si>
    <t>Tkt-0088</t>
  </si>
  <si>
    <t>Tkt-0089</t>
  </si>
  <si>
    <t>Tkt-0090</t>
  </si>
  <si>
    <t>Tkt-0091</t>
  </si>
  <si>
    <t>Tkt-0092</t>
  </si>
  <si>
    <t>Tkt-0093</t>
  </si>
  <si>
    <t>Tkt-0094</t>
  </si>
  <si>
    <t>Tkt-0095</t>
  </si>
  <si>
    <t>Tkt-0096</t>
  </si>
  <si>
    <t>Tkt-0097</t>
  </si>
  <si>
    <t>Tkt-0098</t>
  </si>
  <si>
    <t>Tkt-0099</t>
  </si>
  <si>
    <t>Tkt-0100</t>
  </si>
  <si>
    <t>Tkt-0101</t>
  </si>
  <si>
    <t>Tkt-0102</t>
  </si>
  <si>
    <t>Tkt-0103</t>
  </si>
  <si>
    <t>Tkt-0104</t>
  </si>
  <si>
    <t>Tkt-0105</t>
  </si>
  <si>
    <t>Tkt-0106</t>
  </si>
  <si>
    <t>Tkt-0107</t>
  </si>
  <si>
    <t>Tkt-0108</t>
  </si>
  <si>
    <t>Tkt-0109</t>
  </si>
  <si>
    <t>Tkt-0110</t>
  </si>
  <si>
    <t>Tkt-0111</t>
  </si>
  <si>
    <t>Tkt-0112</t>
  </si>
  <si>
    <t>Tkt-0113</t>
  </si>
  <si>
    <t>Tkt-0114</t>
  </si>
  <si>
    <t>Tkt-0115</t>
  </si>
  <si>
    <t>Tkt-0116</t>
  </si>
  <si>
    <t>Tkt-0117</t>
  </si>
  <si>
    <t>Tkt-0118</t>
  </si>
  <si>
    <t>Tkt-0119</t>
  </si>
  <si>
    <t>Tkt-0120</t>
  </si>
  <si>
    <t>Tkt-0121</t>
  </si>
  <si>
    <t>Tkt-0122</t>
  </si>
  <si>
    <t>Tkt-0123</t>
  </si>
  <si>
    <t>Tkt-0124</t>
  </si>
  <si>
    <t>Tkt-0125</t>
  </si>
  <si>
    <t>Tkt-0126</t>
  </si>
  <si>
    <t>Tkt-0127</t>
  </si>
  <si>
    <t>Tkt-0128</t>
  </si>
  <si>
    <t>Tkt-0129</t>
  </si>
  <si>
    <t>Tkt-0130</t>
  </si>
  <si>
    <t>Tkt-0131</t>
  </si>
  <si>
    <t>Tkt-0132</t>
  </si>
  <si>
    <t>Tkt-0133</t>
  </si>
  <si>
    <t>Tkt-0134</t>
  </si>
  <si>
    <t>Tkt-0135</t>
  </si>
  <si>
    <t>Tkt-0136</t>
  </si>
  <si>
    <t>Tkt-0137</t>
  </si>
  <si>
    <t>Tkt-0138</t>
  </si>
  <si>
    <t>Tkt-0139</t>
  </si>
  <si>
    <t>Tkt-0140</t>
  </si>
  <si>
    <t>Tkt-0141</t>
  </si>
  <si>
    <t>Tkt-0142</t>
  </si>
  <si>
    <t>Tkt-0143</t>
  </si>
  <si>
    <t>Tkt-0144</t>
  </si>
  <si>
    <t>Tkt-0145</t>
  </si>
  <si>
    <t>Tkt-0146</t>
  </si>
  <si>
    <t>Tkt-0147</t>
  </si>
  <si>
    <t>Tkt-0148</t>
  </si>
  <si>
    <t>Tkt-0149</t>
  </si>
  <si>
    <t>Tkt-0150</t>
  </si>
  <si>
    <t>Tkt-0151</t>
  </si>
  <si>
    <t>Tkt-0152</t>
  </si>
  <si>
    <t>Tkt-0153</t>
  </si>
  <si>
    <t>Tkt-0154</t>
  </si>
  <si>
    <t>Tkt-0155</t>
  </si>
  <si>
    <t>Tkt-0156</t>
  </si>
  <si>
    <t>Tkt-0157</t>
  </si>
  <si>
    <t>Tkt-0158</t>
  </si>
  <si>
    <t>Tkt-0159</t>
  </si>
  <si>
    <t>Tkt-0160</t>
  </si>
  <si>
    <t>Tkt-0161</t>
  </si>
  <si>
    <t>Tkt-0162</t>
  </si>
  <si>
    <t>Tkt-0163</t>
  </si>
  <si>
    <t>Tkt-0164</t>
  </si>
  <si>
    <t>Tkt-0165</t>
  </si>
  <si>
    <t>Tkt-0166</t>
  </si>
  <si>
    <t>Tkt-0167</t>
  </si>
  <si>
    <t>Tkt-0168</t>
  </si>
  <si>
    <t>Tkt-0169</t>
  </si>
  <si>
    <t>Tkt-0170</t>
  </si>
  <si>
    <t>Tkt-0171</t>
  </si>
  <si>
    <t>Tkt-0172</t>
  </si>
  <si>
    <t>Tkt-0173</t>
  </si>
  <si>
    <t>Tkt-0174</t>
  </si>
  <si>
    <t>Tkt-0175</t>
  </si>
  <si>
    <t>Tkt-0176</t>
  </si>
  <si>
    <t>Tkt-0177</t>
  </si>
  <si>
    <t>Tkt-0178</t>
  </si>
  <si>
    <t>Tkt-0179</t>
  </si>
  <si>
    <t>Tkt-0180</t>
  </si>
  <si>
    <t>Tkt-0181</t>
  </si>
  <si>
    <t>Tkt-0182</t>
  </si>
  <si>
    <t>Tkt-0183</t>
  </si>
  <si>
    <t>Tkt-0184</t>
  </si>
  <si>
    <t>Tkt-0185</t>
  </si>
  <si>
    <t>Tkt-0186</t>
  </si>
  <si>
    <t>Tkt-0187</t>
  </si>
  <si>
    <t>Tkt-0188</t>
  </si>
  <si>
    <t>Tkt-0189</t>
  </si>
  <si>
    <t>Tkt-0190</t>
  </si>
  <si>
    <t>Tkt-0191</t>
  </si>
  <si>
    <t>Tkt-0192</t>
  </si>
  <si>
    <t>Tkt-0193</t>
  </si>
  <si>
    <t>Tkt-0194</t>
  </si>
  <si>
    <t>Tkt-0195</t>
  </si>
  <si>
    <t>Tkt-0196</t>
  </si>
  <si>
    <t>Tkt-0197</t>
  </si>
  <si>
    <t>Tkt-0198</t>
  </si>
  <si>
    <t>Tkt-0199</t>
  </si>
  <si>
    <t>Tkt-0200</t>
  </si>
  <si>
    <t>Tkt-0201</t>
  </si>
  <si>
    <t>Tkt-0202</t>
  </si>
  <si>
    <t>Tkt-0203</t>
  </si>
  <si>
    <t>Tkt-0204</t>
  </si>
  <si>
    <t>Tkt-0205</t>
  </si>
  <si>
    <t>Tkt-0206</t>
  </si>
  <si>
    <t>Tkt-0207</t>
  </si>
  <si>
    <t>Tkt-0208</t>
  </si>
  <si>
    <t>Tkt-0209</t>
  </si>
  <si>
    <t>Tkt-0210</t>
  </si>
  <si>
    <t>Tkt-0211</t>
  </si>
  <si>
    <t>Tkt-0212</t>
  </si>
  <si>
    <t>Tkt-0213</t>
  </si>
  <si>
    <t>Tkt-0214</t>
  </si>
  <si>
    <t>Tkt-0215</t>
  </si>
  <si>
    <t>Tkt-0216</t>
  </si>
  <si>
    <t>Tkt-0217</t>
  </si>
  <si>
    <t>Tkt-0218</t>
  </si>
  <si>
    <t>Tkt-0219</t>
  </si>
  <si>
    <t>Tkt-0220</t>
  </si>
  <si>
    <t>Tkt-0221</t>
  </si>
  <si>
    <t>Tkt-0222</t>
  </si>
  <si>
    <t>Tkt-0223</t>
  </si>
  <si>
    <t>Tkt-0224</t>
  </si>
  <si>
    <t>Tkt-0225</t>
  </si>
  <si>
    <t>Tkt-0226</t>
  </si>
  <si>
    <t>Tkt-0227</t>
  </si>
  <si>
    <t>Tkt-0228</t>
  </si>
  <si>
    <t>Tkt-0229</t>
  </si>
  <si>
    <t>Tkt-0230</t>
  </si>
  <si>
    <t>Tkt-0231</t>
  </si>
  <si>
    <t>Tkt-0232</t>
  </si>
  <si>
    <t>Tkt-0233</t>
  </si>
  <si>
    <t>Tkt-0234</t>
  </si>
  <si>
    <t>Tkt-0235</t>
  </si>
  <si>
    <t>Tkt-0236</t>
  </si>
  <si>
    <t>Tkt-0237</t>
  </si>
  <si>
    <t>Tkt-0238</t>
  </si>
  <si>
    <t>Tkt-0239</t>
  </si>
  <si>
    <t>Tkt-0240</t>
  </si>
  <si>
    <t>Tkt-0241</t>
  </si>
  <si>
    <t>Tkt-0242</t>
  </si>
  <si>
    <t>Tkt-0243</t>
  </si>
  <si>
    <t>Tkt-0244</t>
  </si>
  <si>
    <t>Tkt-0245</t>
  </si>
  <si>
    <t>Tkt-0246</t>
  </si>
  <si>
    <t>Tkt-0247</t>
  </si>
  <si>
    <t>Tkt-0248</t>
  </si>
  <si>
    <t>Tkt-0249</t>
  </si>
  <si>
    <t>Tkt-0250</t>
  </si>
  <si>
    <t>Tkt-0251</t>
  </si>
  <si>
    <t>Tkt-0252</t>
  </si>
  <si>
    <t>Tkt-0253</t>
  </si>
  <si>
    <t>Tkt-0254</t>
  </si>
  <si>
    <t>Tkt-0255</t>
  </si>
  <si>
    <t>Tkt-0256</t>
  </si>
  <si>
    <t>Tkt-0257</t>
  </si>
  <si>
    <t>Tkt-0258</t>
  </si>
  <si>
    <t>Tkt-0259</t>
  </si>
  <si>
    <t>Tkt-0260</t>
  </si>
  <si>
    <t>Tkt-0261</t>
  </si>
  <si>
    <t>Tkt-0262</t>
  </si>
  <si>
    <t>Tkt-0263</t>
  </si>
  <si>
    <t>Tkt-0264</t>
  </si>
  <si>
    <t>Tkt-0265</t>
  </si>
  <si>
    <t>Tkt-0266</t>
  </si>
  <si>
    <t>Tkt-0267</t>
  </si>
  <si>
    <t>Tkt-0268</t>
  </si>
  <si>
    <t>Tkt-0269</t>
  </si>
  <si>
    <t>Tkt-0270</t>
  </si>
  <si>
    <t>Tkt-0271</t>
  </si>
  <si>
    <t>Tkt-0272</t>
  </si>
  <si>
    <t>Tkt-0273</t>
  </si>
  <si>
    <t>Tkt-0274</t>
  </si>
  <si>
    <t>Tkt-0275</t>
  </si>
  <si>
    <t>Tkt-0276</t>
  </si>
  <si>
    <t>Tkt-0277</t>
  </si>
  <si>
    <t>Tkt-0278</t>
  </si>
  <si>
    <t>Tkt-0279</t>
  </si>
  <si>
    <t>Tkt-0280</t>
  </si>
  <si>
    <t>Tkt-0281</t>
  </si>
  <si>
    <t>Tkt-0282</t>
  </si>
  <si>
    <t>Tkt-0283</t>
  </si>
  <si>
    <t>Tkt-0284</t>
  </si>
  <si>
    <t>Tkt-0285</t>
  </si>
  <si>
    <t>Tkt-0286</t>
  </si>
  <si>
    <t>Tkt-0287</t>
  </si>
  <si>
    <t>Tkt-0288</t>
  </si>
  <si>
    <t>Tkt-0289</t>
  </si>
  <si>
    <t>Tkt-0290</t>
  </si>
  <si>
    <t>Tkt-0291</t>
  </si>
  <si>
    <t>Tkt-0292</t>
  </si>
  <si>
    <t>Tkt-0293</t>
  </si>
  <si>
    <t>Tkt-0294</t>
  </si>
  <si>
    <t>Tkt-0295</t>
  </si>
  <si>
    <t>Tkt-0296</t>
  </si>
  <si>
    <t>Tkt-0297</t>
  </si>
  <si>
    <t>Tkt-0298</t>
  </si>
  <si>
    <t>Tkt-0299</t>
  </si>
  <si>
    <t>Tkt-0300</t>
  </si>
  <si>
    <t>Tkt-0301</t>
  </si>
  <si>
    <t>Tkt-0302</t>
  </si>
  <si>
    <t>Tkt-0303</t>
  </si>
  <si>
    <t>Tkt-0304</t>
  </si>
  <si>
    <t>Tkt-0305</t>
  </si>
  <si>
    <t>Tkt-0306</t>
  </si>
  <si>
    <t>Tkt-0307</t>
  </si>
  <si>
    <t>Tkt-0308</t>
  </si>
  <si>
    <t>Tkt-0309</t>
  </si>
  <si>
    <t>Tkt-0310</t>
  </si>
  <si>
    <t>Tkt-0311</t>
  </si>
  <si>
    <t>Tkt-0312</t>
  </si>
  <si>
    <t>Tkt-0313</t>
  </si>
  <si>
    <t>Tkt-0314</t>
  </si>
  <si>
    <t>Tkt-0315</t>
  </si>
  <si>
    <t>Tkt-0316</t>
  </si>
  <si>
    <t>Tkt-0317</t>
  </si>
  <si>
    <t>Tkt-0318</t>
  </si>
  <si>
    <t>Tkt-0319</t>
  </si>
  <si>
    <t>Tkt-0320</t>
  </si>
  <si>
    <t>Tkt-0321</t>
  </si>
  <si>
    <t>Tkt-0322</t>
  </si>
  <si>
    <t>Tkt-0323</t>
  </si>
  <si>
    <t>Tkt-0324</t>
  </si>
  <si>
    <t>Tkt-0325</t>
  </si>
  <si>
    <t>Tkt-0326</t>
  </si>
  <si>
    <t>Tkt-0327</t>
  </si>
  <si>
    <t>Tkt-0328</t>
  </si>
  <si>
    <t>Tkt-0329</t>
  </si>
  <si>
    <t>Tkt-0330</t>
  </si>
  <si>
    <t>Tkt-0331</t>
  </si>
  <si>
    <t>Tkt-0332</t>
  </si>
  <si>
    <t>Tkt-0333</t>
  </si>
  <si>
    <t>Tkt-0334</t>
  </si>
  <si>
    <t>Tkt-0335</t>
  </si>
  <si>
    <t>Tkt-0336</t>
  </si>
  <si>
    <t>Tkt-0337</t>
  </si>
  <si>
    <t>Tkt-0338</t>
  </si>
  <si>
    <t>Tkt-0339</t>
  </si>
  <si>
    <t>Tkt-0340</t>
  </si>
  <si>
    <t>Tkt-0341</t>
  </si>
  <si>
    <t>Tkt-0342</t>
  </si>
  <si>
    <t>Tkt-0343</t>
  </si>
  <si>
    <t>Tkt-0344</t>
  </si>
  <si>
    <t>Tkt-0345</t>
  </si>
  <si>
    <t>Tkt-0346</t>
  </si>
  <si>
    <t>Tkt-0347</t>
  </si>
  <si>
    <t>Tkt-0348</t>
  </si>
  <si>
    <t>Tkt-0349</t>
  </si>
  <si>
    <t>Tkt-0350</t>
  </si>
  <si>
    <t>Tkt-0351</t>
  </si>
  <si>
    <t>Tkt-0352</t>
  </si>
  <si>
    <t>Tkt-0353</t>
  </si>
  <si>
    <t>Tkt-0354</t>
  </si>
  <si>
    <t>Tkt-0355</t>
  </si>
  <si>
    <t>Tkt-0356</t>
  </si>
  <si>
    <t>Tkt-0357</t>
  </si>
  <si>
    <t>Tkt-0358</t>
  </si>
  <si>
    <t>Tkt-0359</t>
  </si>
  <si>
    <t>Tkt-0360</t>
  </si>
  <si>
    <t>Tkt-0361</t>
  </si>
  <si>
    <t>Tkt-0362</t>
  </si>
  <si>
    <t>Tkt-0363</t>
  </si>
  <si>
    <t>Tkt-0364</t>
  </si>
  <si>
    <t>Tkt-0365</t>
  </si>
  <si>
    <t>Tkt-0366</t>
  </si>
  <si>
    <t>Tkt-0367</t>
  </si>
  <si>
    <t>Tkt-0368</t>
  </si>
  <si>
    <t>Tkt-0369</t>
  </si>
  <si>
    <t>Tkt-0370</t>
  </si>
  <si>
    <t>Tkt-0371</t>
  </si>
  <si>
    <t>Tkt-0372</t>
  </si>
  <si>
    <t>Tkt-0373</t>
  </si>
  <si>
    <t>Tkt-0374</t>
  </si>
  <si>
    <t>Tkt-0375</t>
  </si>
  <si>
    <t>Tkt-0376</t>
  </si>
  <si>
    <t>Tkt-0377</t>
  </si>
  <si>
    <t>Tkt-0378</t>
  </si>
  <si>
    <t>Tkt-0379</t>
  </si>
  <si>
    <t>Tkt-0380</t>
  </si>
  <si>
    <t>Tkt-0381</t>
  </si>
  <si>
    <t>Tkt-0382</t>
  </si>
  <si>
    <t>Tkt-0383</t>
  </si>
  <si>
    <t>Tkt-0384</t>
  </si>
  <si>
    <t>Tkt-0385</t>
  </si>
  <si>
    <t>Tkt-0386</t>
  </si>
  <si>
    <t>Tkt-0387</t>
  </si>
  <si>
    <t>Tkt-0388</t>
  </si>
  <si>
    <t>Tkt-0389</t>
  </si>
  <si>
    <t>Tkt-0390</t>
  </si>
  <si>
    <t>Tkt-0391</t>
  </si>
  <si>
    <t>Tkt-0392</t>
  </si>
  <si>
    <t>Tkt-0393</t>
  </si>
  <si>
    <t>Tkt-0394</t>
  </si>
  <si>
    <t>Tkt-0395</t>
  </si>
  <si>
    <t>Tkt-0396</t>
  </si>
  <si>
    <t>Tkt-0397</t>
  </si>
  <si>
    <t>Tkt-0398</t>
  </si>
  <si>
    <t>Tkt-0399</t>
  </si>
  <si>
    <t>Tkt-0400</t>
  </si>
  <si>
    <t>Tkt-0401</t>
  </si>
  <si>
    <t>Tkt-0402</t>
  </si>
  <si>
    <t>Tkt-0403</t>
  </si>
  <si>
    <t>Tkt-0404</t>
  </si>
  <si>
    <t>Tkt-0405</t>
  </si>
  <si>
    <t>Tkt-0406</t>
  </si>
  <si>
    <t>Tkt-0407</t>
  </si>
  <si>
    <t>Tkt-0408</t>
  </si>
  <si>
    <t>Tkt-0409</t>
  </si>
  <si>
    <t>Tkt-0410</t>
  </si>
  <si>
    <t>Tkt-0411</t>
  </si>
  <si>
    <t>Tkt-0412</t>
  </si>
  <si>
    <t>Tkt-0413</t>
  </si>
  <si>
    <t>Tkt-0414</t>
  </si>
  <si>
    <t>Tkt-0415</t>
  </si>
  <si>
    <t>Tkt-0416</t>
  </si>
  <si>
    <t>Tkt-0417</t>
  </si>
  <si>
    <t>Tkt-0418</t>
  </si>
  <si>
    <t>Tkt-0419</t>
  </si>
  <si>
    <t>Tkt-0420</t>
  </si>
  <si>
    <t>Tkt-0421</t>
  </si>
  <si>
    <t>Tkt-0422</t>
  </si>
  <si>
    <t>Tkt-0423</t>
  </si>
  <si>
    <t>Tkt-0424</t>
  </si>
  <si>
    <t>Tkt-0425</t>
  </si>
  <si>
    <t>Tkt-0426</t>
  </si>
  <si>
    <t>Tkt-0427</t>
  </si>
  <si>
    <t>Tkt-0428</t>
  </si>
  <si>
    <t>Tkt-0429</t>
  </si>
  <si>
    <t>Tkt-0430</t>
  </si>
  <si>
    <t>Tkt-0431</t>
  </si>
  <si>
    <t>Tkt-0432</t>
  </si>
  <si>
    <t>Tkt-0433</t>
  </si>
  <si>
    <t>Tkt-0434</t>
  </si>
  <si>
    <t>Tkt-0435</t>
  </si>
  <si>
    <t>Tkt-0436</t>
  </si>
  <si>
    <t>Tkt-0437</t>
  </si>
  <si>
    <t>Tkt-0438</t>
  </si>
  <si>
    <t>Tkt-0439</t>
  </si>
  <si>
    <t>Tkt-0440</t>
  </si>
  <si>
    <t>Tkt-0441</t>
  </si>
  <si>
    <t>Tkt-0442</t>
  </si>
  <si>
    <t>Tkt-0443</t>
  </si>
  <si>
    <t>Tkt-0444</t>
  </si>
  <si>
    <t>Tkt-0445</t>
  </si>
  <si>
    <t>Tkt-0446</t>
  </si>
  <si>
    <t>Tkt-0447</t>
  </si>
  <si>
    <t>Tkt-0448</t>
  </si>
  <si>
    <t>Tkt-0449</t>
  </si>
  <si>
    <t>Tkt-0450</t>
  </si>
  <si>
    <t>Tkt-0451</t>
  </si>
  <si>
    <t>Tkt-0452</t>
  </si>
  <si>
    <t>Tkt-0453</t>
  </si>
  <si>
    <t>Tkt-0454</t>
  </si>
  <si>
    <t>Tkt-0455</t>
  </si>
  <si>
    <t>Tkt-0456</t>
  </si>
  <si>
    <t>Tkt-0457</t>
  </si>
  <si>
    <t>Tkt-0458</t>
  </si>
  <si>
    <t>Tkt-0459</t>
  </si>
  <si>
    <t>Tkt-0460</t>
  </si>
  <si>
    <t>Tkt-0461</t>
  </si>
  <si>
    <t>Tkt-0462</t>
  </si>
  <si>
    <t>Tkt-0463</t>
  </si>
  <si>
    <t>Tkt-0464</t>
  </si>
  <si>
    <t>Tkt-0465</t>
  </si>
  <si>
    <t>Tkt-0466</t>
  </si>
  <si>
    <t>Tkt-0467</t>
  </si>
  <si>
    <t>Tkt-0468</t>
  </si>
  <si>
    <t>Tkt-0469</t>
  </si>
  <si>
    <t>Tkt-0470</t>
  </si>
  <si>
    <t>Tkt-0471</t>
  </si>
  <si>
    <t>Tkt-0472</t>
  </si>
  <si>
    <t>Tkt-0473</t>
  </si>
  <si>
    <t>Tkt-0474</t>
  </si>
  <si>
    <t>Tkt-0475</t>
  </si>
  <si>
    <t>Tkt-0476</t>
  </si>
  <si>
    <t>Tkt-0477</t>
  </si>
  <si>
    <t>Tkt-0478</t>
  </si>
  <si>
    <t>Tkt-0479</t>
  </si>
  <si>
    <t>Tkt-0480</t>
  </si>
  <si>
    <t>Tkt-0481</t>
  </si>
  <si>
    <t>Tkt-0482</t>
  </si>
  <si>
    <t>Tkt-0483</t>
  </si>
  <si>
    <t>Tkt-0484</t>
  </si>
  <si>
    <t>Tkt-0485</t>
  </si>
  <si>
    <t>Tkt-0486</t>
  </si>
  <si>
    <t>Tkt-0487</t>
  </si>
  <si>
    <t>Tkt-0488</t>
  </si>
  <si>
    <t>Tkt-0489</t>
  </si>
  <si>
    <t>Tkt-0490</t>
  </si>
  <si>
    <t>Tkt-0491</t>
  </si>
  <si>
    <t>Tkt-0492</t>
  </si>
  <si>
    <t>Tkt-0493</t>
  </si>
  <si>
    <t>Tkt-0494</t>
  </si>
  <si>
    <t>Tkt-0495</t>
  </si>
  <si>
    <t>Tkt-0496</t>
  </si>
  <si>
    <t>Tkt-0497</t>
  </si>
  <si>
    <t>Tkt-0498</t>
  </si>
  <si>
    <t>Tkt-0499</t>
  </si>
  <si>
    <t>Tkt-0500</t>
  </si>
  <si>
    <t>Tkt-0501</t>
  </si>
  <si>
    <t>Tkt-0502</t>
  </si>
  <si>
    <t>Tkt-0503</t>
  </si>
  <si>
    <t>Tkt-0504</t>
  </si>
  <si>
    <t>Tkt-0505</t>
  </si>
  <si>
    <t>Tkt-0506</t>
  </si>
  <si>
    <t>Tkt-0507</t>
  </si>
  <si>
    <t>Tkt-0508</t>
  </si>
  <si>
    <t>Tkt-0509</t>
  </si>
  <si>
    <t>Tkt-0510</t>
  </si>
  <si>
    <t>Tkt-0511</t>
  </si>
  <si>
    <t>Tkt-0512</t>
  </si>
  <si>
    <t>Tkt-0513</t>
  </si>
  <si>
    <t>Tkt-0514</t>
  </si>
  <si>
    <t>Tkt-0515</t>
  </si>
  <si>
    <t>Tkt-0516</t>
  </si>
  <si>
    <t>Tkt-0517</t>
  </si>
  <si>
    <t>Tkt-0518</t>
  </si>
  <si>
    <t>Tkt-0519</t>
  </si>
  <si>
    <t>Tkt-0520</t>
  </si>
  <si>
    <t>Tkt-0521</t>
  </si>
  <si>
    <t>Tkt-0522</t>
  </si>
  <si>
    <t>Tkt-0523</t>
  </si>
  <si>
    <t>Tkt-0524</t>
  </si>
  <si>
    <t>Tkt-0525</t>
  </si>
  <si>
    <t>Tkt-0526</t>
  </si>
  <si>
    <t>Tkt-0527</t>
  </si>
  <si>
    <t>Tkt-0528</t>
  </si>
  <si>
    <t>Tkt-0529</t>
  </si>
  <si>
    <t>Tkt-0530</t>
  </si>
  <si>
    <t>Tkt-0531</t>
  </si>
  <si>
    <t>Tkt-0532</t>
  </si>
  <si>
    <t>Tkt-0533</t>
  </si>
  <si>
    <t>Tkt-0534</t>
  </si>
  <si>
    <t>Tkt-0535</t>
  </si>
  <si>
    <t>Tkt-0536</t>
  </si>
  <si>
    <t>Tkt-0537</t>
  </si>
  <si>
    <t>Tkt-0538</t>
  </si>
  <si>
    <t>Tkt-0539</t>
  </si>
  <si>
    <t>Tkt-0540</t>
  </si>
  <si>
    <t>Tkt-0541</t>
  </si>
  <si>
    <t>Tkt-0542</t>
  </si>
  <si>
    <t>Tkt-0543</t>
  </si>
  <si>
    <t>Tkt-0544</t>
  </si>
  <si>
    <t>Tkt-0545</t>
  </si>
  <si>
    <t>Tkt-0546</t>
  </si>
  <si>
    <t>Tkt-0547</t>
  </si>
  <si>
    <t>Tkt-0548</t>
  </si>
  <si>
    <t>Tkt-0549</t>
  </si>
  <si>
    <t>Tkt-0550</t>
  </si>
  <si>
    <t>Tkt-0551</t>
  </si>
  <si>
    <t>Tkt-0552</t>
  </si>
  <si>
    <t>Tkt-0553</t>
  </si>
  <si>
    <t>Tkt-0554</t>
  </si>
  <si>
    <t>Tkt-0555</t>
  </si>
  <si>
    <t>Tkt-0556</t>
  </si>
  <si>
    <t>Tkt-0557</t>
  </si>
  <si>
    <t>Tkt-0558</t>
  </si>
  <si>
    <t>Tkt-0559</t>
  </si>
  <si>
    <t>Tkt-0560</t>
  </si>
  <si>
    <t>Tkt-0561</t>
  </si>
  <si>
    <t>Tkt-0562</t>
  </si>
  <si>
    <t>Tkt-0563</t>
  </si>
  <si>
    <t>Tkt-0564</t>
  </si>
  <si>
    <t>Tkt-0565</t>
  </si>
  <si>
    <t>Tkt-0566</t>
  </si>
  <si>
    <t>Tkt-0567</t>
  </si>
  <si>
    <t>Tkt-0568</t>
  </si>
  <si>
    <t>Tkt-0569</t>
  </si>
  <si>
    <t>Tkt-0570</t>
  </si>
  <si>
    <t>Tkt-0571</t>
  </si>
  <si>
    <t>Tkt-0572</t>
  </si>
  <si>
    <t>Tkt-0573</t>
  </si>
  <si>
    <t>Tkt-0574</t>
  </si>
  <si>
    <t>Tkt-0575</t>
  </si>
  <si>
    <t>Tkt-0576</t>
  </si>
  <si>
    <t>Tkt-0577</t>
  </si>
  <si>
    <t>Tkt-0578</t>
  </si>
  <si>
    <t>Tkt-0579</t>
  </si>
  <si>
    <t>Tkt-0580</t>
  </si>
  <si>
    <t>Tkt-0581</t>
  </si>
  <si>
    <t>Tkt-0582</t>
  </si>
  <si>
    <t>Tkt-0583</t>
  </si>
  <si>
    <t>Tkt-0584</t>
  </si>
  <si>
    <t>Tkt-0585</t>
  </si>
  <si>
    <t>Tkt-0586</t>
  </si>
  <si>
    <t>Tkt-0587</t>
  </si>
  <si>
    <t>Tkt-0588</t>
  </si>
  <si>
    <t>Tkt-0589</t>
  </si>
  <si>
    <t>Tkt-0590</t>
  </si>
  <si>
    <t>Tkt-0591</t>
  </si>
  <si>
    <t>Tkt-0592</t>
  </si>
  <si>
    <t>Tkt-0593</t>
  </si>
  <si>
    <t>Tkt-0594</t>
  </si>
  <si>
    <t>Tkt-0595</t>
  </si>
  <si>
    <t>Tkt-0596</t>
  </si>
  <si>
    <t>Tkt-0597</t>
  </si>
  <si>
    <t>Tkt-0598</t>
  </si>
  <si>
    <t>Tkt-0599</t>
  </si>
  <si>
    <t>Tkt-0600</t>
  </si>
  <si>
    <t>Tkt-0601</t>
  </si>
  <si>
    <t>Tkt-0602</t>
  </si>
  <si>
    <t>Tkt-0603</t>
  </si>
  <si>
    <t>Tkt-0604</t>
  </si>
  <si>
    <t>Tkt-0605</t>
  </si>
  <si>
    <t>Tkt-0606</t>
  </si>
  <si>
    <t>Tkt-0607</t>
  </si>
  <si>
    <t>Tkt-0608</t>
  </si>
  <si>
    <t>Tkt-0609</t>
  </si>
  <si>
    <t>Tkt-0610</t>
  </si>
  <si>
    <t>Tkt-0611</t>
  </si>
  <si>
    <t>Tkt-0612</t>
  </si>
  <si>
    <t>Tkt-0613</t>
  </si>
  <si>
    <t>Tkt-0614</t>
  </si>
  <si>
    <t>Tkt-0615</t>
  </si>
  <si>
    <t>Tkt-0616</t>
  </si>
  <si>
    <t>Tkt-0617</t>
  </si>
  <si>
    <t>Tkt-0618</t>
  </si>
  <si>
    <t>Tkt-0619</t>
  </si>
  <si>
    <t>Tkt-0620</t>
  </si>
  <si>
    <t>Tkt-0621</t>
  </si>
  <si>
    <t>Tkt-0622</t>
  </si>
  <si>
    <t>Tkt-0623</t>
  </si>
  <si>
    <t>Tkt-0624</t>
  </si>
  <si>
    <t>Tkt-0625</t>
  </si>
  <si>
    <t>Tkt-0626</t>
  </si>
  <si>
    <t>Tkt-0627</t>
  </si>
  <si>
    <t>Tkt-0628</t>
  </si>
  <si>
    <t>Tkt-0629</t>
  </si>
  <si>
    <t>Tkt-0630</t>
  </si>
  <si>
    <t>Tkt-0631</t>
  </si>
  <si>
    <t>Tkt-0632</t>
  </si>
  <si>
    <t>Tkt-0633</t>
  </si>
  <si>
    <t>Tkt-0634</t>
  </si>
  <si>
    <t>Tkt-0635</t>
  </si>
  <si>
    <t>Tkt-0636</t>
  </si>
  <si>
    <t>Tkt-0637</t>
  </si>
  <si>
    <t>Tkt-0638</t>
  </si>
  <si>
    <t>Tkt-0639</t>
  </si>
  <si>
    <t>Tkt-0640</t>
  </si>
  <si>
    <t>Tkt-0641</t>
  </si>
  <si>
    <t>Tkt-0642</t>
  </si>
  <si>
    <t>Tkt-0643</t>
  </si>
  <si>
    <t>Tkt-0644</t>
  </si>
  <si>
    <t>Tkt-0645</t>
  </si>
  <si>
    <t>Tkt-0646</t>
  </si>
  <si>
    <t>Tkt-0647</t>
  </si>
  <si>
    <t>Tkt-0648</t>
  </si>
  <si>
    <t>Tkt-0649</t>
  </si>
  <si>
    <t>Tkt-0650</t>
  </si>
  <si>
    <t>Tkt-0651</t>
  </si>
  <si>
    <t>Tkt-0652</t>
  </si>
  <si>
    <t>Tkt-0653</t>
  </si>
  <si>
    <t>Tkt-0654</t>
  </si>
  <si>
    <t>Tkt-0655</t>
  </si>
  <si>
    <t>Tkt-0656</t>
  </si>
  <si>
    <t>Tkt-0657</t>
  </si>
  <si>
    <t>Tkt-0658</t>
  </si>
  <si>
    <t>Tkt-0659</t>
  </si>
  <si>
    <t>Tkt-0660</t>
  </si>
  <si>
    <t>Tkt-0661</t>
  </si>
  <si>
    <t>Tkt-0662</t>
  </si>
  <si>
    <t>Tkt-0663</t>
  </si>
  <si>
    <t>Tkt-0664</t>
  </si>
  <si>
    <t>Tkt-0665</t>
  </si>
  <si>
    <t>Tkt-0666</t>
  </si>
  <si>
    <t>Tkt-0667</t>
  </si>
  <si>
    <t>Tkt-0668</t>
  </si>
  <si>
    <t>Tkt-0669</t>
  </si>
  <si>
    <t>Tkt-0670</t>
  </si>
  <si>
    <t>Tkt-0671</t>
  </si>
  <si>
    <t>Tkt-0672</t>
  </si>
  <si>
    <t>Tkt-0673</t>
  </si>
  <si>
    <t>Tkt-0674</t>
  </si>
  <si>
    <t>Tkt-0675</t>
  </si>
  <si>
    <t>Tkt-0676</t>
  </si>
  <si>
    <t>Tkt-0677</t>
  </si>
  <si>
    <t>Tkt-0678</t>
  </si>
  <si>
    <t>Tkt-0679</t>
  </si>
  <si>
    <t>Tkt-0680</t>
  </si>
  <si>
    <t>Tkt-0681</t>
  </si>
  <si>
    <t>Tkt-0682</t>
  </si>
  <si>
    <t>Tkt-0683</t>
  </si>
  <si>
    <t>Tkt-0684</t>
  </si>
  <si>
    <t>Tkt-0685</t>
  </si>
  <si>
    <t>Tkt-0686</t>
  </si>
  <si>
    <t>Tkt-0687</t>
  </si>
  <si>
    <t>Tkt-0688</t>
  </si>
  <si>
    <t>Tkt-0689</t>
  </si>
  <si>
    <t>Tkt-0690</t>
  </si>
  <si>
    <t>Tkt-0691</t>
  </si>
  <si>
    <t>Tkt-0692</t>
  </si>
  <si>
    <t>Tkt-0693</t>
  </si>
  <si>
    <t>Tkt-0694</t>
  </si>
  <si>
    <t>Tkt-0695</t>
  </si>
  <si>
    <t>Tkt-0696</t>
  </si>
  <si>
    <t>Tkt-0697</t>
  </si>
  <si>
    <t>Tkt-0698</t>
  </si>
  <si>
    <t>Tkt-0699</t>
  </si>
  <si>
    <t>Tkt-0700</t>
  </si>
  <si>
    <t>Tkt-0701</t>
  </si>
  <si>
    <t>Tkt-0702</t>
  </si>
  <si>
    <t>Tkt-0703</t>
  </si>
  <si>
    <t>Tkt-0704</t>
  </si>
  <si>
    <t>Tkt-0705</t>
  </si>
  <si>
    <t>Tkt-0706</t>
  </si>
  <si>
    <t>Tkt-0707</t>
  </si>
  <si>
    <t>Tkt-0708</t>
  </si>
  <si>
    <t>Tkt-0709</t>
  </si>
  <si>
    <t>Tkt-0710</t>
  </si>
  <si>
    <t>Tkt-0711</t>
  </si>
  <si>
    <t>Tkt-0712</t>
  </si>
  <si>
    <t>Tkt-0713</t>
  </si>
  <si>
    <t>Tkt-0714</t>
  </si>
  <si>
    <t>Tkt-0715</t>
  </si>
  <si>
    <t>Tkt-0716</t>
  </si>
  <si>
    <t>Tkt-0717</t>
  </si>
  <si>
    <t>Tkt-0718</t>
  </si>
  <si>
    <t>Tkt-0719</t>
  </si>
  <si>
    <t>Tkt-0720</t>
  </si>
  <si>
    <t>Tkt-0721</t>
  </si>
  <si>
    <t>Tkt-0722</t>
  </si>
  <si>
    <t>Tkt-0723</t>
  </si>
  <si>
    <t>Tkt-0724</t>
  </si>
  <si>
    <t>Tkt-0725</t>
  </si>
  <si>
    <t>Tkt-0726</t>
  </si>
  <si>
    <t>Tkt-0727</t>
  </si>
  <si>
    <t>Tkt-0728</t>
  </si>
  <si>
    <t>Tkt-0729</t>
  </si>
  <si>
    <t>Tkt-0730</t>
  </si>
  <si>
    <t>Tkt-0731</t>
  </si>
  <si>
    <t>Tkt-0732</t>
  </si>
  <si>
    <t>Tkt-0733</t>
  </si>
  <si>
    <t>Tkt-0734</t>
  </si>
  <si>
    <t>Tkt-0735</t>
  </si>
  <si>
    <t>Tkt-0736</t>
  </si>
  <si>
    <t>Tkt-0737</t>
  </si>
  <si>
    <t>Tkt-0738</t>
  </si>
  <si>
    <t>Tkt-0739</t>
  </si>
  <si>
    <t>Tkt-0740</t>
  </si>
  <si>
    <t>Tkt-0741</t>
  </si>
  <si>
    <t>Tkt-0742</t>
  </si>
  <si>
    <t>Tkt-0743</t>
  </si>
  <si>
    <t>Tkt-0744</t>
  </si>
  <si>
    <t>Tkt-0745</t>
  </si>
  <si>
    <t>Tkt-0746</t>
  </si>
  <si>
    <t>Tkt-0747</t>
  </si>
  <si>
    <t>Tkt-0748</t>
  </si>
  <si>
    <t>Tkt-0749</t>
  </si>
  <si>
    <t>Tkt-0750</t>
  </si>
  <si>
    <t>Tkt-0751</t>
  </si>
  <si>
    <t>Tkt-0752</t>
  </si>
  <si>
    <t>Tkt-0753</t>
  </si>
  <si>
    <t>Tkt-0754</t>
  </si>
  <si>
    <t>Tkt-0755</t>
  </si>
  <si>
    <t>Tkt-0756</t>
  </si>
  <si>
    <t>Tkt-0757</t>
  </si>
  <si>
    <t>Tkt-0758</t>
  </si>
  <si>
    <t>Tkt-0759</t>
  </si>
  <si>
    <t>Tkt-0760</t>
  </si>
  <si>
    <t>Tkt-0761</t>
  </si>
  <si>
    <t>Tkt-0762</t>
  </si>
  <si>
    <t>Tkt-0763</t>
  </si>
  <si>
    <t>Tkt-0764</t>
  </si>
  <si>
    <t>Tkt-0765</t>
  </si>
  <si>
    <t>Tkt-0766</t>
  </si>
  <si>
    <t>Tkt-0767</t>
  </si>
  <si>
    <t>Tkt-0768</t>
  </si>
  <si>
    <t>Tkt-0769</t>
  </si>
  <si>
    <t>Tkt-0770</t>
  </si>
  <si>
    <t>Tkt-0771</t>
  </si>
  <si>
    <t>Tkt-0772</t>
  </si>
  <si>
    <t>Tkt-0773</t>
  </si>
  <si>
    <t>Tkt-0774</t>
  </si>
  <si>
    <t>Tkt-0775</t>
  </si>
  <si>
    <t>Tkt-0776</t>
  </si>
  <si>
    <t>Tkt-0777</t>
  </si>
  <si>
    <t>Tkt-0778</t>
  </si>
  <si>
    <t>Tkt-0779</t>
  </si>
  <si>
    <t>Tkt-0780</t>
  </si>
  <si>
    <t>Tkt-0781</t>
  </si>
  <si>
    <t>Tkt-0782</t>
  </si>
  <si>
    <t>Tkt-0783</t>
  </si>
  <si>
    <t>Tkt-0784</t>
  </si>
  <si>
    <t>Tkt-0785</t>
  </si>
  <si>
    <t>Tkt-0786</t>
  </si>
  <si>
    <t>Tkt-0787</t>
  </si>
  <si>
    <t>Tkt-0788</t>
  </si>
  <si>
    <t>Tkt-0789</t>
  </si>
  <si>
    <t>Tkt-0790</t>
  </si>
  <si>
    <t>Tkt-0791</t>
  </si>
  <si>
    <t>Tkt-0792</t>
  </si>
  <si>
    <t>Tkt-0793</t>
  </si>
  <si>
    <t>Tkt-0794</t>
  </si>
  <si>
    <t>Tkt-0795</t>
  </si>
  <si>
    <t>Tkt-0796</t>
  </si>
  <si>
    <t>Tkt-0797</t>
  </si>
  <si>
    <t>Tkt-0798</t>
  </si>
  <si>
    <t>Tkt-0799</t>
  </si>
  <si>
    <t>Tkt-0800</t>
  </si>
  <si>
    <t>Tkt-0801</t>
  </si>
  <si>
    <t>Tkt-0802</t>
  </si>
  <si>
    <t>Tkt-0803</t>
  </si>
  <si>
    <t>Tkt-0804</t>
  </si>
  <si>
    <t>Tkt-0805</t>
  </si>
  <si>
    <t>Tkt-0806</t>
  </si>
  <si>
    <t>Tkt-0807</t>
  </si>
  <si>
    <t>Tkt-0808</t>
  </si>
  <si>
    <t>Tkt-0809</t>
  </si>
  <si>
    <t>Tkt-0810</t>
  </si>
  <si>
    <t>Tkt-0811</t>
  </si>
  <si>
    <t>Tkt-0812</t>
  </si>
  <si>
    <t>Tkt-0813</t>
  </si>
  <si>
    <t>Tkt-0814</t>
  </si>
  <si>
    <t>Tkt-0815</t>
  </si>
  <si>
    <t>Tkt-0816</t>
  </si>
  <si>
    <t>Tkt-0817</t>
  </si>
  <si>
    <t>Tkt-0818</t>
  </si>
  <si>
    <t>Tkt-0819</t>
  </si>
  <si>
    <t>Tkt-0820</t>
  </si>
  <si>
    <t>Tkt-0821</t>
  </si>
  <si>
    <t>Tkt-0822</t>
  </si>
  <si>
    <t>Tkt-0823</t>
  </si>
  <si>
    <t>Tkt-0824</t>
  </si>
  <si>
    <t>Tkt-0825</t>
  </si>
  <si>
    <t>Tkt-0826</t>
  </si>
  <si>
    <t>Tkt-0827</t>
  </si>
  <si>
    <t>Tkt-0828</t>
  </si>
  <si>
    <t>Tkt-0829</t>
  </si>
  <si>
    <t>Tkt-0830</t>
  </si>
  <si>
    <t>Tkt-0831</t>
  </si>
  <si>
    <t>Tkt-0832</t>
  </si>
  <si>
    <t>Tkt-0833</t>
  </si>
  <si>
    <t>Tkt-0834</t>
  </si>
  <si>
    <t>Tkt-0835</t>
  </si>
  <si>
    <t>Tkt-0836</t>
  </si>
  <si>
    <t>Tkt-0837</t>
  </si>
  <si>
    <t>Tkt-0838</t>
  </si>
  <si>
    <t>Tkt-0839</t>
  </si>
  <si>
    <t>Tkt-0840</t>
  </si>
  <si>
    <t>Tkt-0841</t>
  </si>
  <si>
    <t>Tkt-0842</t>
  </si>
  <si>
    <t>Tkt-0843</t>
  </si>
  <si>
    <t>Tkt-0844</t>
  </si>
  <si>
    <t>Tkt-0845</t>
  </si>
  <si>
    <t>Tkt-0846</t>
  </si>
  <si>
    <t>Tkt-0847</t>
  </si>
  <si>
    <t>Tkt-0848</t>
  </si>
  <si>
    <t>Tkt-0849</t>
  </si>
  <si>
    <t>Tkt-0850</t>
  </si>
  <si>
    <t>Tkt-0851</t>
  </si>
  <si>
    <t>Tkt-0852</t>
  </si>
  <si>
    <t>Tkt-0853</t>
  </si>
  <si>
    <t>Tkt-0854</t>
  </si>
  <si>
    <t>Tkt-0855</t>
  </si>
  <si>
    <t>Tkt-0856</t>
  </si>
  <si>
    <t>Tkt-0857</t>
  </si>
  <si>
    <t>Tkt-0858</t>
  </si>
  <si>
    <t>Tkt-0859</t>
  </si>
  <si>
    <t>Tkt-0860</t>
  </si>
  <si>
    <t>Tkt-0861</t>
  </si>
  <si>
    <t>Tkt-0862</t>
  </si>
  <si>
    <t>Tkt-0863</t>
  </si>
  <si>
    <t>Tkt-0864</t>
  </si>
  <si>
    <t>Tkt-0865</t>
  </si>
  <si>
    <t>Tkt-0866</t>
  </si>
  <si>
    <t>Tkt-0867</t>
  </si>
  <si>
    <t>Tkt-0868</t>
  </si>
  <si>
    <t>Tkt-0869</t>
  </si>
  <si>
    <t>Tkt-0870</t>
  </si>
  <si>
    <t>Tkt-0871</t>
  </si>
  <si>
    <t>Tkt-0872</t>
  </si>
  <si>
    <t>Tkt-0873</t>
  </si>
  <si>
    <t>Tkt-0874</t>
  </si>
  <si>
    <t>Tkt-0875</t>
  </si>
  <si>
    <t>Tkt-0876</t>
  </si>
  <si>
    <t>Tkt-0877</t>
  </si>
  <si>
    <t>Tkt-0878</t>
  </si>
  <si>
    <t>Tkt-0879</t>
  </si>
  <si>
    <t>Tkt-0880</t>
  </si>
  <si>
    <t>Tkt-0881</t>
  </si>
  <si>
    <t>Tkt-0882</t>
  </si>
  <si>
    <t>Tkt-0883</t>
  </si>
  <si>
    <t>Tkt-0884</t>
  </si>
  <si>
    <t>Tkt-0885</t>
  </si>
  <si>
    <t>Tkt-0886</t>
  </si>
  <si>
    <t>Tkt-0887</t>
  </si>
  <si>
    <t>Tkt-0888</t>
  </si>
  <si>
    <t>Tkt-0889</t>
  </si>
  <si>
    <t>Tkt-0890</t>
  </si>
  <si>
    <t>Tkt-0891</t>
  </si>
  <si>
    <t>Tkt-0892</t>
  </si>
  <si>
    <t>Tkt-0893</t>
  </si>
  <si>
    <t>Tkt-0894</t>
  </si>
  <si>
    <t>Tkt-0895</t>
  </si>
  <si>
    <t>Tkt-0896</t>
  </si>
  <si>
    <t>Tkt-0897</t>
  </si>
  <si>
    <t>Tkt-0898</t>
  </si>
  <si>
    <t>Tkt-0899</t>
  </si>
  <si>
    <t>Tkt-0900</t>
  </si>
  <si>
    <t>Tkt-0901</t>
  </si>
  <si>
    <t>Tkt-0902</t>
  </si>
  <si>
    <t>Tkt-0903</t>
  </si>
  <si>
    <t>Tkt-0904</t>
  </si>
  <si>
    <t>Tkt-0905</t>
  </si>
  <si>
    <t>Tkt-0906</t>
  </si>
  <si>
    <t>Tkt-0907</t>
  </si>
  <si>
    <t>Tkt-0908</t>
  </si>
  <si>
    <t>Tkt-0909</t>
  </si>
  <si>
    <t>Tkt-0910</t>
  </si>
  <si>
    <t>Tkt-0911</t>
  </si>
  <si>
    <t>Tkt-0912</t>
  </si>
  <si>
    <t>Tkt-0913</t>
  </si>
  <si>
    <t>Tkt-0914</t>
  </si>
  <si>
    <t>Tkt-0915</t>
  </si>
  <si>
    <t>Tkt-0916</t>
  </si>
  <si>
    <t>Tkt-0917</t>
  </si>
  <si>
    <t>Tkt-0918</t>
  </si>
  <si>
    <t>Tkt-0919</t>
  </si>
  <si>
    <t>Tkt-0920</t>
  </si>
  <si>
    <t>Tkt-0921</t>
  </si>
  <si>
    <t>Tkt-0922</t>
  </si>
  <si>
    <t>Tkt-0923</t>
  </si>
  <si>
    <t>Tkt-0924</t>
  </si>
  <si>
    <t>Tkt-0925</t>
  </si>
  <si>
    <t>Tkt-0926</t>
  </si>
  <si>
    <t>Tkt-0927</t>
  </si>
  <si>
    <t>Tkt-0928</t>
  </si>
  <si>
    <t>Tkt-0929</t>
  </si>
  <si>
    <t>Tkt-0930</t>
  </si>
  <si>
    <t>Tkt-0931</t>
  </si>
  <si>
    <t>Tkt-0932</t>
  </si>
  <si>
    <t>Tkt-0933</t>
  </si>
  <si>
    <t>Tkt-0934</t>
  </si>
  <si>
    <t>Tkt-0935</t>
  </si>
  <si>
    <t>Tkt-0936</t>
  </si>
  <si>
    <t>Tkt-0937</t>
  </si>
  <si>
    <t>Tkt-0938</t>
  </si>
  <si>
    <t>Tkt-0939</t>
  </si>
  <si>
    <t>Tkt-0940</t>
  </si>
  <si>
    <t>Tkt-0941</t>
  </si>
  <si>
    <t>Tkt-0942</t>
  </si>
  <si>
    <t>Tkt-0943</t>
  </si>
  <si>
    <t>Tkt-0944</t>
  </si>
  <si>
    <t>Tkt-0945</t>
  </si>
  <si>
    <t>Tkt-0946</t>
  </si>
  <si>
    <t>Tkt-0947</t>
  </si>
  <si>
    <t>Tkt-0948</t>
  </si>
  <si>
    <t>Tkt-0949</t>
  </si>
  <si>
    <t>Tkt-0950</t>
  </si>
  <si>
    <t>Tkt-0951</t>
  </si>
  <si>
    <t>Tkt-0952</t>
  </si>
  <si>
    <t>Tkt-0953</t>
  </si>
  <si>
    <t>Tkt-0954</t>
  </si>
  <si>
    <t>Tkt-0955</t>
  </si>
  <si>
    <t>Tkt-0956</t>
  </si>
  <si>
    <t>Tkt-0957</t>
  </si>
  <si>
    <t>Tkt-0958</t>
  </si>
  <si>
    <t>Tkt-0959</t>
  </si>
  <si>
    <t>Tkt-0960</t>
  </si>
  <si>
    <t>Tkt-0961</t>
  </si>
  <si>
    <t>Tkt-0962</t>
  </si>
  <si>
    <t>Tkt-0963</t>
  </si>
  <si>
    <t>Tkt-0964</t>
  </si>
  <si>
    <t>Tkt-0965</t>
  </si>
  <si>
    <t>Tkt-0966</t>
  </si>
  <si>
    <t>Tkt-0967</t>
  </si>
  <si>
    <t>Tkt-0968</t>
  </si>
  <si>
    <t>Tkt-0969</t>
  </si>
  <si>
    <t>Tkt-0970</t>
  </si>
  <si>
    <t>Tkt-0971</t>
  </si>
  <si>
    <t>Tkt-0972</t>
  </si>
  <si>
    <t>Tkt-0973</t>
  </si>
  <si>
    <t>Tkt-0974</t>
  </si>
  <si>
    <t>Tkt-0975</t>
  </si>
  <si>
    <t>Tkt-0976</t>
  </si>
  <si>
    <t>Tkt-0977</t>
  </si>
  <si>
    <t>Tkt-0978</t>
  </si>
  <si>
    <t>Tkt-0979</t>
  </si>
  <si>
    <t>Tkt-0980</t>
  </si>
  <si>
    <t>Tkt-0981</t>
  </si>
  <si>
    <t>Tkt-0982</t>
  </si>
  <si>
    <t>Tkt-0983</t>
  </si>
  <si>
    <t>Tkt-0984</t>
  </si>
  <si>
    <t>Tkt-0985</t>
  </si>
  <si>
    <t>Tkt-0986</t>
  </si>
  <si>
    <t>Tkt-0987</t>
  </si>
  <si>
    <t>Tkt-0988</t>
  </si>
  <si>
    <t>Tkt-0989</t>
  </si>
  <si>
    <t>Tkt-0990</t>
  </si>
  <si>
    <t>Tkt-0991</t>
  </si>
  <si>
    <t>Tkt-0992</t>
  </si>
  <si>
    <t>Tkt-0993</t>
  </si>
  <si>
    <t>Tkt-0994</t>
  </si>
  <si>
    <t>Tkt-0995</t>
  </si>
  <si>
    <t>Tkt-0996</t>
  </si>
  <si>
    <t>Tkt-0997</t>
  </si>
  <si>
    <t>Tkt-0998</t>
  </si>
  <si>
    <t>Tkt-0999</t>
  </si>
  <si>
    <t>Ticket_Count</t>
  </si>
  <si>
    <t>Sum of SLA_Flag</t>
  </si>
  <si>
    <t>Sum of Ticket_Count</t>
  </si>
  <si>
    <t>Sum of SLA%</t>
  </si>
  <si>
    <t>Row Labels</t>
  </si>
  <si>
    <t>Grand Total</t>
  </si>
  <si>
    <t>Count of TicketID</t>
  </si>
  <si>
    <t>Average of ResolutionTimeHrs</t>
  </si>
  <si>
    <t>Average of CSAT_Score</t>
  </si>
  <si>
    <t>SLA %</t>
  </si>
  <si>
    <t>CSAT Score</t>
  </si>
  <si>
    <t>Resolution Time (Hrs)</t>
  </si>
  <si>
    <t>Customer Ticket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</si>
</sst>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2"/>
      <color theme="1"/>
      <name val="Aptos Narrow"/>
      <family val="2"/>
      <scheme val="minor"/>
    </font>
    <font>
      <sz val="8"/>
      <name val="Aptos Narrow"/>
      <family val="2"/>
      <scheme val="minor"/>
    </font>
    <font>
      <b/>
      <sz val="14"/>
      <color theme="1"/>
      <name val="Aptos Narrow"/>
      <scheme val="minor"/>
    </font>
    <font>
      <sz val="28"/>
      <color theme="1"/>
      <name val="Aptos Narrow"/>
      <family val="2"/>
      <scheme val="minor"/>
    </font>
    <font>
      <b/>
      <sz val="28"/>
      <color theme="1"/>
      <name val="Aptos Narrow"/>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1">
    <xf numFmtId="0" fontId="0" fillId="0" borderId="0"/>
  </cellStyleXfs>
  <cellXfs count="12">
    <xf numFmtId="0" fontId="0" fillId="0" borderId="0" xfId="0"/>
    <xf numFmtId="22" fontId="0" fillId="0" borderId="0" xfId="0" applyNumberFormat="1"/>
    <xf numFmtId="10" fontId="0" fillId="0" borderId="0" xfId="0" applyNumberFormat="1"/>
    <xf numFmtId="0" fontId="0" fillId="0" borderId="0" xfId="0" pivotButton="1"/>
    <xf numFmtId="0" fontId="0" fillId="0" borderId="0" xfId="0" applyAlignment="1">
      <alignment horizontal="left"/>
    </xf>
    <xf numFmtId="2" fontId="0" fillId="0" borderId="0" xfId="0" applyNumberFormat="1"/>
    <xf numFmtId="164" fontId="0" fillId="0" borderId="0" xfId="0" applyNumberFormat="1"/>
    <xf numFmtId="0" fontId="2" fillId="2" borderId="0" xfId="0" applyFont="1" applyFill="1" applyAlignment="1">
      <alignment horizontal="center"/>
    </xf>
    <xf numFmtId="10" fontId="3" fillId="2" borderId="0" xfId="0" applyNumberFormat="1" applyFont="1" applyFill="1" applyAlignment="1">
      <alignment horizontal="center"/>
    </xf>
    <xf numFmtId="2" fontId="3" fillId="2" borderId="0" xfId="0" applyNumberFormat="1" applyFont="1" applyFill="1" applyAlignment="1">
      <alignment horizontal="center"/>
    </xf>
    <xf numFmtId="164" fontId="3" fillId="2" borderId="0" xfId="0" applyNumberFormat="1" applyFont="1" applyFill="1" applyAlignment="1">
      <alignment horizontal="center"/>
    </xf>
    <xf numFmtId="0" fontId="4" fillId="0" borderId="0" xfId="0" applyFont="1" applyAlignment="1">
      <alignment horizontal="center" vertical="center"/>
    </xf>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 h:mm"/>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[Customer_Tickets_Analysis.xlsx]DATA!PivotTable8</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Weekly SLA Performance</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122011775555085E-2"/>
          <c:y val="0.13515234508729887"/>
          <c:w val="0.88010321344967013"/>
          <c:h val="0.73824649092776451"/>
        </c:manualLayout>
      </c:layout>
      <c:lineChart>
        <c:grouping val="standard"/>
        <c:varyColors val="0"/>
        <c:ser>
          <c:idx val="0"/>
          <c:order val="0"/>
          <c:tx>
            <c:strRef>
              <c:f>DATA!$B$6</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DATA!$A$7:$A$11</c:f>
              <c:strCache>
                <c:ptCount val="4"/>
                <c:pt idx="0">
                  <c:v>9</c:v>
                </c:pt>
                <c:pt idx="1">
                  <c:v>10</c:v>
                </c:pt>
                <c:pt idx="2">
                  <c:v>11</c:v>
                </c:pt>
                <c:pt idx="3">
                  <c:v>12</c:v>
                </c:pt>
              </c:strCache>
            </c:strRef>
          </c:cat>
          <c:val>
            <c:numRef>
              <c:f>DATA!$B$7:$B$11</c:f>
              <c:numCache>
                <c:formatCode>0.00%</c:formatCode>
                <c:ptCount val="4"/>
                <c:pt idx="0">
                  <c:v>0.44206008583690987</c:v>
                </c:pt>
                <c:pt idx="1">
                  <c:v>0.49382716049382713</c:v>
                </c:pt>
                <c:pt idx="2">
                  <c:v>0.42471042471042469</c:v>
                </c:pt>
                <c:pt idx="3">
                  <c:v>0.4679245283018868</c:v>
                </c:pt>
              </c:numCache>
            </c:numRef>
          </c:val>
          <c:smooth val="0"/>
          <c:extLst>
            <c:ext xmlns:c16="http://schemas.microsoft.com/office/drawing/2014/chart" uri="{C3380CC4-5D6E-409C-BE32-E72D297353CC}">
              <c16:uniqueId val="{00000000-E46F-0845-AFC8-F18D82281B2D}"/>
            </c:ext>
          </c:extLst>
        </c:ser>
        <c:dLbls>
          <c:dLblPos val="ctr"/>
          <c:showLegendKey val="0"/>
          <c:showVal val="1"/>
          <c:showCatName val="0"/>
          <c:showSerName val="0"/>
          <c:showPercent val="0"/>
          <c:showBubbleSize val="0"/>
        </c:dLbls>
        <c:marker val="1"/>
        <c:smooth val="0"/>
        <c:axId val="738588832"/>
        <c:axId val="691327712"/>
      </c:lineChart>
      <c:catAx>
        <c:axId val="73858883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327712"/>
        <c:crosses val="autoZero"/>
        <c:auto val="1"/>
        <c:lblAlgn val="ctr"/>
        <c:lblOffset val="100"/>
        <c:noMultiLvlLbl val="0"/>
      </c:catAx>
      <c:valAx>
        <c:axId val="691327712"/>
        <c:scaling>
          <c:orientation val="minMax"/>
        </c:scaling>
        <c:delete val="0"/>
        <c:axPos val="l"/>
        <c:majorGridlines>
          <c:spPr>
            <a:ln w="9525" cap="flat" cmpd="sng" algn="ctr">
              <a:no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588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[Customer_Tickets_Analysis.xlsx]DATA!PivotTable9</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CSAT Analysis</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DATA!$F$2</c:f>
              <c:strCache>
                <c:ptCount val="1"/>
                <c:pt idx="0">
                  <c:v>Total</c:v>
                </c:pt>
              </c:strCache>
            </c:strRef>
          </c:tx>
          <c:explosion val="5"/>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5BB-C049-B0B7-EDF50FCAC02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5BB-C049-B0B7-EDF50FCAC02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5BB-C049-B0B7-EDF50FCAC0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DATA!$E$3:$E$6</c:f>
              <c:strCache>
                <c:ptCount val="3"/>
                <c:pt idx="0">
                  <c:v>Positive</c:v>
                </c:pt>
                <c:pt idx="1">
                  <c:v>Neutral</c:v>
                </c:pt>
                <c:pt idx="2">
                  <c:v>Negative</c:v>
                </c:pt>
              </c:strCache>
            </c:strRef>
          </c:cat>
          <c:val>
            <c:numRef>
              <c:f>DATA!$F$3:$F$6</c:f>
              <c:numCache>
                <c:formatCode>General</c:formatCode>
                <c:ptCount val="3"/>
                <c:pt idx="0">
                  <c:v>740</c:v>
                </c:pt>
                <c:pt idx="1">
                  <c:v>132</c:v>
                </c:pt>
                <c:pt idx="2">
                  <c:v>128</c:v>
                </c:pt>
              </c:numCache>
            </c:numRef>
          </c:val>
          <c:extLst>
            <c:ext xmlns:c16="http://schemas.microsoft.com/office/drawing/2014/chart" uri="{C3380CC4-5D6E-409C-BE32-E72D297353CC}">
              <c16:uniqueId val="{00000000-F248-5443-8F53-128E6EB984DA}"/>
            </c:ext>
          </c:extLst>
        </c:ser>
        <c:dLbls>
          <c:dLblPos val="in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[Customer_Tickets_Analysis.xlsx]DATA!PivotTable12</c:name>
    <c:fmtId val="0"/>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a:t>Ticket By Group</a:t>
            </a:r>
          </a:p>
        </c:rich>
      </c:tx>
      <c:overlay val="0"/>
      <c:spPr>
        <a:noFill/>
        <a:ln w="0">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DATA!$I$2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DATA!$H$3:$H$8</c:f>
              <c:strCache>
                <c:ptCount val="5"/>
                <c:pt idx="0">
                  <c:v>Billing</c:v>
                </c:pt>
                <c:pt idx="1">
                  <c:v>Escalations</c:v>
                </c:pt>
                <c:pt idx="2">
                  <c:v>Tech</c:v>
                </c:pt>
                <c:pt idx="3">
                  <c:v>Tier1</c:v>
                </c:pt>
                <c:pt idx="4">
                  <c:v>Tier2</c:v>
                </c:pt>
              </c:strCache>
            </c:strRef>
          </c:cat>
          <c:val>
            <c:numRef>
              <c:f>DATA!$I$3:$I$8</c:f>
              <c:numCache>
                <c:formatCode>General</c:formatCode>
                <c:ptCount val="5"/>
                <c:pt idx="0">
                  <c:v>186</c:v>
                </c:pt>
                <c:pt idx="1">
                  <c:v>101</c:v>
                </c:pt>
                <c:pt idx="2">
                  <c:v>159</c:v>
                </c:pt>
                <c:pt idx="3">
                  <c:v>298</c:v>
                </c:pt>
                <c:pt idx="4">
                  <c:v>256</c:v>
                </c:pt>
              </c:numCache>
            </c:numRef>
          </c:val>
          <c:extLst>
            <c:ext xmlns:c16="http://schemas.microsoft.com/office/drawing/2014/chart" uri="{C3380CC4-5D6E-409C-BE32-E72D297353CC}">
              <c16:uniqueId val="{00000000-9A4E-B14F-B2D7-F7EE65917626}"/>
            </c:ext>
          </c:extLst>
        </c:ser>
        <c:dLbls>
          <c:showLegendKey val="0"/>
          <c:showVal val="0"/>
          <c:showCatName val="0"/>
          <c:showSerName val="0"/>
          <c:showPercent val="0"/>
          <c:showBubbleSize val="0"/>
        </c:dLbls>
        <c:gapWidth val="100"/>
        <c:overlap val="-24"/>
        <c:axId val="739172896"/>
        <c:axId val="712647488"/>
      </c:barChart>
      <c:catAx>
        <c:axId val="73917289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2647488"/>
        <c:crosses val="autoZero"/>
        <c:auto val="1"/>
        <c:lblAlgn val="ctr"/>
        <c:lblOffset val="100"/>
        <c:noMultiLvlLbl val="0"/>
      </c:catAx>
      <c:valAx>
        <c:axId val="71264748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9172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[Customer_Tickets_Analysis.xlsx]DATA!PivotTable13</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Ticket Status Breakdown</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DATA!$I$10</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965-3C4C-9E6F-0313CD669EE9}"/>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965-3C4C-9E6F-0313CD669EE9}"/>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965-3C4C-9E6F-0313CD669EE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DATA!$H$11:$H$14</c:f>
              <c:strCache>
                <c:ptCount val="3"/>
                <c:pt idx="0">
                  <c:v>Closed</c:v>
                </c:pt>
                <c:pt idx="1">
                  <c:v>Open</c:v>
                </c:pt>
                <c:pt idx="2">
                  <c:v>Pending</c:v>
                </c:pt>
              </c:strCache>
            </c:strRef>
          </c:cat>
          <c:val>
            <c:numRef>
              <c:f>DATA!$I$11:$I$14</c:f>
              <c:numCache>
                <c:formatCode>General</c:formatCode>
                <c:ptCount val="3"/>
                <c:pt idx="0">
                  <c:v>775</c:v>
                </c:pt>
                <c:pt idx="1">
                  <c:v>82</c:v>
                </c:pt>
                <c:pt idx="2">
                  <c:v>143</c:v>
                </c:pt>
              </c:numCache>
            </c:numRef>
          </c:val>
          <c:extLst>
            <c:ext xmlns:c16="http://schemas.microsoft.com/office/drawing/2014/chart" uri="{C3380CC4-5D6E-409C-BE32-E72D297353CC}">
              <c16:uniqueId val="{00000000-C52E-4C40-9B49-0F6FD237C09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6</xdr:col>
      <xdr:colOff>673099</xdr:colOff>
      <xdr:row>5</xdr:row>
      <xdr:rowOff>29312</xdr:rowOff>
    </xdr:from>
    <xdr:ext cx="4008179" cy="1141082"/>
    <xdr:sp macro="" textlink="">
      <xdr:nvSpPr>
        <xdr:cNvPr id="16" name="TextBox 15">
          <a:extLst>
            <a:ext uri="{FF2B5EF4-FFF2-40B4-BE49-F238E27FC236}">
              <a16:creationId xmlns:a16="http://schemas.microsoft.com/office/drawing/2014/main" id="{4E1A4985-3B70-4760-B446-72D0235AE288}"/>
            </a:ext>
          </a:extLst>
        </xdr:cNvPr>
        <xdr:cNvSpPr txBox="1"/>
      </xdr:nvSpPr>
      <xdr:spPr>
        <a:xfrm>
          <a:off x="14465890" y="1624196"/>
          <a:ext cx="4008179" cy="1141082"/>
        </a:xfrm>
        <a:prstGeom prst="rect">
          <a:avLst/>
        </a:prstGeom>
        <a:solidFill>
          <a:schemeClr val="tx2">
            <a:lumMod val="10000"/>
            <a:lumOff val="9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nchorCtr="0">
          <a:spAutoFit/>
        </a:bodyPr>
        <a:lstStyle/>
        <a:p>
          <a:pPr marL="285750" indent="-285750" algn="l">
            <a:buFont typeface="Arial" panose="020B0604020202020204" pitchFamily="34" charset="0"/>
            <a:buChar char="•"/>
          </a:pPr>
          <a:r>
            <a:rPr lang="en-IN" sz="1400" b="1"/>
            <a:t>SLA performance dropped in Week 11 before recovering in Week 12.</a:t>
          </a:r>
        </a:p>
        <a:p>
          <a:pPr marL="285750" indent="-285750" algn="l">
            <a:buFont typeface="Arial" panose="020B0604020202020204" pitchFamily="34" charset="0"/>
            <a:buChar char="•"/>
          </a:pPr>
          <a:r>
            <a:rPr lang="en-IN" sz="1400" b="1"/>
            <a:t>Tier1 handles highest ticket volume.</a:t>
          </a:r>
        </a:p>
        <a:p>
          <a:pPr marL="285750" indent="-285750" algn="l">
            <a:buFont typeface="Arial" panose="020B0604020202020204" pitchFamily="34" charset="0"/>
            <a:buChar char="•"/>
          </a:pPr>
          <a:r>
            <a:rPr lang="en-IN" sz="1400" b="1"/>
            <a:t>Majority tickets are closed successfully (78%).</a:t>
          </a:r>
        </a:p>
        <a:p>
          <a:endParaRPr lang="en-GB" sz="1100"/>
        </a:p>
      </xdr:txBody>
    </xdr:sp>
    <xdr:clientData/>
  </xdr:oneCellAnchor>
  <xdr:twoCellAnchor>
    <xdr:from>
      <xdr:col>0</xdr:col>
      <xdr:colOff>0</xdr:colOff>
      <xdr:row>5</xdr:row>
      <xdr:rowOff>190500</xdr:rowOff>
    </xdr:from>
    <xdr:to>
      <xdr:col>5</xdr:col>
      <xdr:colOff>25400</xdr:colOff>
      <xdr:row>20</xdr:row>
      <xdr:rowOff>63500</xdr:rowOff>
    </xdr:to>
    <xdr:graphicFrame macro="">
      <xdr:nvGraphicFramePr>
        <xdr:cNvPr id="2" name="Chart 1">
          <a:extLst>
            <a:ext uri="{FF2B5EF4-FFF2-40B4-BE49-F238E27FC236}">
              <a16:creationId xmlns:a16="http://schemas.microsoft.com/office/drawing/2014/main" id="{B26E31D5-33FD-76C7-ADA9-742018467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63500</xdr:rowOff>
    </xdr:from>
    <xdr:to>
      <xdr:col>1</xdr:col>
      <xdr:colOff>977900</xdr:colOff>
      <xdr:row>34</xdr:row>
      <xdr:rowOff>63500</xdr:rowOff>
    </xdr:to>
    <xdr:graphicFrame macro="">
      <xdr:nvGraphicFramePr>
        <xdr:cNvPr id="3" name="Chart 2">
          <a:extLst>
            <a:ext uri="{FF2B5EF4-FFF2-40B4-BE49-F238E27FC236}">
              <a16:creationId xmlns:a16="http://schemas.microsoft.com/office/drawing/2014/main" id="{ABF56978-5732-58D3-E16B-4984E0DCE9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977900</xdr:colOff>
      <xdr:row>20</xdr:row>
      <xdr:rowOff>63500</xdr:rowOff>
    </xdr:from>
    <xdr:to>
      <xdr:col>3</xdr:col>
      <xdr:colOff>1612900</xdr:colOff>
      <xdr:row>34</xdr:row>
      <xdr:rowOff>76200</xdr:rowOff>
    </xdr:to>
    <xdr:graphicFrame macro="">
      <xdr:nvGraphicFramePr>
        <xdr:cNvPr id="5" name="Chart 4">
          <a:extLst>
            <a:ext uri="{FF2B5EF4-FFF2-40B4-BE49-F238E27FC236}">
              <a16:creationId xmlns:a16="http://schemas.microsoft.com/office/drawing/2014/main" id="{70EE0C46-9F51-2FB3-A4DF-B5A38524F3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1587500</xdr:colOff>
      <xdr:row>20</xdr:row>
      <xdr:rowOff>63500</xdr:rowOff>
    </xdr:from>
    <xdr:to>
      <xdr:col>5</xdr:col>
      <xdr:colOff>25400</xdr:colOff>
      <xdr:row>34</xdr:row>
      <xdr:rowOff>76200</xdr:rowOff>
    </xdr:to>
    <xdr:graphicFrame macro="">
      <xdr:nvGraphicFramePr>
        <xdr:cNvPr id="6" name="Chart 5">
          <a:extLst>
            <a:ext uri="{FF2B5EF4-FFF2-40B4-BE49-F238E27FC236}">
              <a16:creationId xmlns:a16="http://schemas.microsoft.com/office/drawing/2014/main" id="{A1465FCA-694D-EC72-3A8F-B35E2740AA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571500</xdr:colOff>
      <xdr:row>24</xdr:row>
      <xdr:rowOff>50800</xdr:rowOff>
    </xdr:from>
    <xdr:to>
      <xdr:col>6</xdr:col>
      <xdr:colOff>342900</xdr:colOff>
      <xdr:row>31</xdr:row>
      <xdr:rowOff>38101</xdr:rowOff>
    </xdr:to>
    <mc:AlternateContent xmlns:mc="http://schemas.openxmlformats.org/markup-compatibility/2006" xmlns:a14="http://schemas.microsoft.com/office/drawing/2010/main">
      <mc:Choice Requires="a14">
        <xdr:graphicFrame macro="">
          <xdr:nvGraphicFramePr>
            <xdr:cNvPr id="8" name="Channel">
              <a:extLst>
                <a:ext uri="{FF2B5EF4-FFF2-40B4-BE49-F238E27FC236}">
                  <a16:creationId xmlns:a16="http://schemas.microsoft.com/office/drawing/2014/main" id="{2B27745C-3266-1753-E57C-5D5FC2DDCA2E}"/>
                </a:ext>
              </a:extLst>
            </xdr:cNvPr>
            <xdr:cNvGraphicFramePr/>
          </xdr:nvGraphicFramePr>
          <xdr:xfrm>
            <a:off x="0" y="0"/>
            <a:ext cx="0" cy="0"/>
          </xdr:xfrm>
          <a:graphic>
            <a:graphicData uri="http://schemas.microsoft.com/office/drawing/2010/slicer">
              <sle:slicer xmlns:sle="http://schemas.microsoft.com/office/drawing/2010/slicer" name="Channel"/>
            </a:graphicData>
          </a:graphic>
        </xdr:graphicFrame>
      </mc:Choice>
      <mc:Fallback xmlns="">
        <xdr:sp macro="" textlink="">
          <xdr:nvSpPr>
            <xdr:cNvPr id="0" name=""/>
            <xdr:cNvSpPr>
              <a:spLocks noTextEdit="1"/>
            </xdr:cNvSpPr>
          </xdr:nvSpPr>
          <xdr:spPr>
            <a:xfrm>
              <a:off x="12828477" y="5765800"/>
              <a:ext cx="1307214" cy="14345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558800</xdr:colOff>
      <xdr:row>14</xdr:row>
      <xdr:rowOff>0</xdr:rowOff>
    </xdr:from>
    <xdr:to>
      <xdr:col>6</xdr:col>
      <xdr:colOff>317500</xdr:colOff>
      <xdr:row>24</xdr:row>
      <xdr:rowOff>12700</xdr:rowOff>
    </xdr:to>
    <mc:AlternateContent xmlns:mc="http://schemas.openxmlformats.org/markup-compatibility/2006" xmlns:a14="http://schemas.microsoft.com/office/drawing/2010/main">
      <mc:Choice Requires="a14">
        <xdr:graphicFrame macro="">
          <xdr:nvGraphicFramePr>
            <xdr:cNvPr id="9" name="Group">
              <a:extLst>
                <a:ext uri="{FF2B5EF4-FFF2-40B4-BE49-F238E27FC236}">
                  <a16:creationId xmlns:a16="http://schemas.microsoft.com/office/drawing/2014/main" id="{635098A6-90D6-5A0B-3920-364C2F7E9199}"/>
                </a:ext>
              </a:extLst>
            </xdr:cNvPr>
            <xdr:cNvGraphicFramePr/>
          </xdr:nvGraphicFramePr>
          <xdr:xfrm>
            <a:off x="0" y="0"/>
            <a:ext cx="0" cy="0"/>
          </xdr:xfrm>
          <a:graphic>
            <a:graphicData uri="http://schemas.microsoft.com/office/drawing/2010/slicer">
              <sle:slicer xmlns:sle="http://schemas.microsoft.com/office/drawing/2010/slicer" name="Group"/>
            </a:graphicData>
          </a:graphic>
        </xdr:graphicFrame>
      </mc:Choice>
      <mc:Fallback xmlns="">
        <xdr:sp macro="" textlink="">
          <xdr:nvSpPr>
            <xdr:cNvPr id="0" name=""/>
            <xdr:cNvSpPr>
              <a:spLocks noTextEdit="1"/>
            </xdr:cNvSpPr>
          </xdr:nvSpPr>
          <xdr:spPr>
            <a:xfrm>
              <a:off x="12815777" y="3647558"/>
              <a:ext cx="1294514" cy="208014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546100</xdr:colOff>
      <xdr:row>5</xdr:row>
      <xdr:rowOff>12700</xdr:rowOff>
    </xdr:from>
    <xdr:to>
      <xdr:col>6</xdr:col>
      <xdr:colOff>292100</xdr:colOff>
      <xdr:row>13</xdr:row>
      <xdr:rowOff>177799</xdr:rowOff>
    </xdr:to>
    <mc:AlternateContent xmlns:mc="http://schemas.openxmlformats.org/markup-compatibility/2006" xmlns:a14="http://schemas.microsoft.com/office/drawing/2010/main">
      <mc:Choice Requires="a14">
        <xdr:graphicFrame macro="">
          <xdr:nvGraphicFramePr>
            <xdr:cNvPr id="10" name="WeekNumber">
              <a:extLst>
                <a:ext uri="{FF2B5EF4-FFF2-40B4-BE49-F238E27FC236}">
                  <a16:creationId xmlns:a16="http://schemas.microsoft.com/office/drawing/2014/main" id="{EA83D851-CD45-5070-F85B-0EC08BBF8C73}"/>
                </a:ext>
              </a:extLst>
            </xdr:cNvPr>
            <xdr:cNvGraphicFramePr/>
          </xdr:nvGraphicFramePr>
          <xdr:xfrm>
            <a:off x="0" y="0"/>
            <a:ext cx="0" cy="0"/>
          </xdr:xfrm>
          <a:graphic>
            <a:graphicData uri="http://schemas.microsoft.com/office/drawing/2010/slicer">
              <sle:slicer xmlns:sle="http://schemas.microsoft.com/office/drawing/2010/slicer" name="WeekNumber"/>
            </a:graphicData>
          </a:graphic>
        </xdr:graphicFrame>
      </mc:Choice>
      <mc:Fallback xmlns="">
        <xdr:sp macro="" textlink="">
          <xdr:nvSpPr>
            <xdr:cNvPr id="0" name=""/>
            <xdr:cNvSpPr>
              <a:spLocks noTextEdit="1"/>
            </xdr:cNvSpPr>
          </xdr:nvSpPr>
          <xdr:spPr>
            <a:xfrm>
              <a:off x="12803077" y="1799560"/>
              <a:ext cx="1281814" cy="1819053"/>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101.852064699073" createdVersion="8" refreshedVersion="8" minRefreshableVersion="3" recordCount="1000" xr:uid="{27F55AE7-3E7B-394C-90EC-BE34CDC6AFE7}">
  <cacheSource type="worksheet">
    <worksheetSource name="customer_tickets_SIMPLE_PERFECT"/>
  </cacheSource>
  <cacheFields count="16">
    <cacheField name="TicketID" numFmtId="0">
      <sharedItems/>
    </cacheField>
    <cacheField name="CreatedDate" numFmtId="22">
      <sharedItems containsSemiMixedTypes="0" containsNonDate="0" containsDate="1" containsString="0" minDate="2025-12-01T01:00:00" maxDate="2026-02-28T21:00:00"/>
    </cacheField>
    <cacheField name="Status" numFmtId="0">
      <sharedItems count="3">
        <s v="Closed"/>
        <s v="Pending"/>
        <s v="Open"/>
      </sharedItems>
    </cacheField>
    <cacheField name="Channel" numFmtId="0">
      <sharedItems count="3">
        <s v="Email"/>
        <s v="Phone"/>
        <s v="Portal"/>
      </sharedItems>
    </cacheField>
    <cacheField name="Group" numFmtId="0">
      <sharedItems count="5">
        <s v="Tier1"/>
        <s v="Escalations"/>
        <s v="Tech"/>
        <s v="Tier2"/>
        <s v="Billing"/>
      </sharedItems>
    </cacheField>
    <cacheField name="CSAT_Score" numFmtId="0">
      <sharedItems containsSemiMixedTypes="0" containsString="0" containsNumber="1" containsInteger="1" minValue="1" maxValue="5" count="5">
        <n v="5"/>
        <n v="4"/>
        <n v="1"/>
        <n v="2"/>
        <n v="3"/>
      </sharedItems>
    </cacheField>
    <cacheField name="CSAT_Category" numFmtId="0">
      <sharedItems count="3">
        <s v="Positive"/>
        <s v="Negative"/>
        <s v="Neutral"/>
      </sharedItems>
    </cacheField>
    <cacheField name="ResponseTimeHrs" numFmtId="0">
      <sharedItems containsSemiMixedTypes="0" containsString="0" containsNumber="1" minValue="0.1" maxValue="12.3"/>
    </cacheField>
    <cacheField name="ResolutionTimeHrs" numFmtId="0">
      <sharedItems containsSemiMixedTypes="0" containsString="0" containsNumber="1" minValue="1" maxValue="37.4" count="259">
        <n v="7.3"/>
        <n v="13.2"/>
        <n v="12.6"/>
        <n v="16.3"/>
        <n v="10.4"/>
        <n v="1"/>
        <n v="9"/>
        <n v="18.899999999999999"/>
        <n v="10.1"/>
        <n v="10.5"/>
        <n v="20.399999999999999"/>
        <n v="6.8"/>
        <n v="11.2"/>
        <n v="8.6"/>
        <n v="4.8"/>
        <n v="11.1"/>
        <n v="16.399999999999999"/>
        <n v="12.4"/>
        <n v="15"/>
        <n v="27"/>
        <n v="9.8000000000000007"/>
        <n v="14.7"/>
        <n v="8.4"/>
        <n v="5.7"/>
        <n v="7.8"/>
        <n v="8.6999999999999993"/>
        <n v="15.4"/>
        <n v="31.3"/>
        <n v="9.1999999999999993"/>
        <n v="12"/>
        <n v="15.7"/>
        <n v="14.6"/>
        <n v="22.8"/>
        <n v="8.5"/>
        <n v="21.3"/>
        <n v="17.100000000000001"/>
        <n v="14.4"/>
        <n v="3.8"/>
        <n v="4.5999999999999996"/>
        <n v="4.7"/>
        <n v="13.4"/>
        <n v="7.5"/>
        <n v="16.5"/>
        <n v="5.6"/>
        <n v="3.5"/>
        <n v="8.1999999999999993"/>
        <n v="12.9"/>
        <n v="17"/>
        <n v="27.4"/>
        <n v="15.1"/>
        <n v="19.3"/>
        <n v="12.5"/>
        <n v="21.9"/>
        <n v="1.5"/>
        <n v="16.7"/>
        <n v="27.5"/>
        <n v="15.9"/>
        <n v="23.3"/>
        <n v="7.6"/>
        <n v="3.1"/>
        <n v="24"/>
        <n v="9.6999999999999993"/>
        <n v="24.1"/>
        <n v="11.9"/>
        <n v="19.600000000000001"/>
        <n v="18.100000000000001"/>
        <n v="12.7"/>
        <n v="13.8"/>
        <n v="30.1"/>
        <n v="21.1"/>
        <n v="14.2"/>
        <n v="20.8"/>
        <n v="5.8"/>
        <n v="23.9"/>
        <n v="11.8"/>
        <n v="5.4"/>
        <n v="20.5"/>
        <n v="10.199999999999999"/>
        <n v="18.600000000000001"/>
        <n v="14.8"/>
        <n v="19.899999999999999"/>
        <n v="11.4"/>
        <n v="8.3000000000000007"/>
        <n v="1.6"/>
        <n v="3.9"/>
        <n v="11.7"/>
        <n v="7.7"/>
        <n v="29.2"/>
        <n v="21.8"/>
        <n v="20.3"/>
        <n v="6.3"/>
        <n v="14.1"/>
        <n v="8.8000000000000007"/>
        <n v="14"/>
        <n v="24.6"/>
        <n v="17.3"/>
        <n v="16.600000000000001"/>
        <n v="9.1"/>
        <n v="10.8"/>
        <n v="22.2"/>
        <n v="4.0999999999999996"/>
        <n v="13.5"/>
        <n v="6.2"/>
        <n v="2"/>
        <n v="18.399999999999999"/>
        <n v="10.9"/>
        <n v="15.6"/>
        <n v="21.5"/>
        <n v="13.7"/>
        <n v="12.3"/>
        <n v="11.6"/>
        <n v="22.3"/>
        <n v="6.4"/>
        <n v="19.7"/>
        <n v="26.1"/>
        <n v="9.3000000000000007"/>
        <n v="18"/>
        <n v="3.3"/>
        <n v="18.5"/>
        <n v="10"/>
        <n v="20"/>
        <n v="28.1"/>
        <n v="20.7"/>
        <n v="12.1"/>
        <n v="5"/>
        <n v="8"/>
        <n v="18.2"/>
        <n v="14.3"/>
        <n v="9.9"/>
        <n v="17.2"/>
        <n v="17.899999999999999"/>
        <n v="5.9"/>
        <n v="22.1"/>
        <n v="29.3"/>
        <n v="12.8"/>
        <n v="7.1"/>
        <n v="8.1"/>
        <n v="13.6"/>
        <n v="17.7"/>
        <n v="28.8"/>
        <n v="14.9"/>
        <n v="13.9"/>
        <n v="7.2"/>
        <n v="7"/>
        <n v="19.100000000000001"/>
        <n v="19.2"/>
        <n v="5.3"/>
        <n v="5.5"/>
        <n v="15.3"/>
        <n v="11.5"/>
        <n v="9.4"/>
        <n v="16.8"/>
        <n v="19.5"/>
        <n v="4"/>
        <n v="17.399999999999999"/>
        <n v="23.5"/>
        <n v="22.5"/>
        <n v="20.100000000000001"/>
        <n v="3.4"/>
        <n v="13.3"/>
        <n v="10.3"/>
        <n v="16.899999999999999"/>
        <n v="24.5"/>
        <n v="21.7"/>
        <n v="22.6"/>
        <n v="3.2"/>
        <n v="1.8"/>
        <n v="17.8"/>
        <n v="22"/>
        <n v="27.3"/>
        <n v="7.9"/>
        <n v="15.8"/>
        <n v="22.9"/>
        <n v="1.3"/>
        <n v="20.9"/>
        <n v="2.9"/>
        <n v="12.2"/>
        <n v="19.399999999999999"/>
        <n v="25.9"/>
        <n v="6.1"/>
        <n v="1.7"/>
        <n v="15.5"/>
        <n v="3"/>
        <n v="21"/>
        <n v="5.2"/>
        <n v="29.1"/>
        <n v="1.4"/>
        <n v="7.4"/>
        <n v="10.7"/>
        <n v="4.2"/>
        <n v="23.6"/>
        <n v="4.5"/>
        <n v="26.3"/>
        <n v="18.8"/>
        <n v="2.7"/>
        <n v="19"/>
        <n v="6.5"/>
        <n v="27.1"/>
        <n v="11"/>
        <n v="23"/>
        <n v="25.6"/>
        <n v="13"/>
        <n v="8.9"/>
        <n v="18.7"/>
        <n v="6.6"/>
        <n v="17.600000000000001"/>
        <n v="25.4"/>
        <n v="17.5"/>
        <n v="29.7"/>
        <n v="14.5"/>
        <n v="24.4"/>
        <n v="25.8"/>
        <n v="10.6"/>
        <n v="24.3"/>
        <n v="6.9"/>
        <n v="4.9000000000000004"/>
        <n v="22.7"/>
        <n v="23.8"/>
        <n v="31.6"/>
        <n v="18.3"/>
        <n v="20.6"/>
        <n v="25.2"/>
        <n v="20.2"/>
        <n v="25.3"/>
        <n v="2.2999999999999998"/>
        <n v="3.7"/>
        <n v="34.5"/>
        <n v="11.3"/>
        <n v="2.4"/>
        <n v="23.1"/>
        <n v="6"/>
        <n v="13.1"/>
        <n v="32.9"/>
        <n v="31.2"/>
        <n v="37.1"/>
        <n v="23.4"/>
        <n v="2.5"/>
        <n v="4.4000000000000004"/>
        <n v="16"/>
        <n v="4.3"/>
        <n v="9.5"/>
        <n v="16.100000000000001"/>
        <n v="2.2000000000000002"/>
        <n v="24.8"/>
        <n v="6.7"/>
        <n v="26.5"/>
        <n v="24.7"/>
        <n v="37.4"/>
        <n v="30.7"/>
        <n v="2.6"/>
        <n v="31.7"/>
        <n v="30"/>
        <n v="25.5"/>
        <n v="15.2"/>
        <n v="2.8"/>
        <n v="31.1"/>
        <n v="32.799999999999997"/>
        <n v="19.8"/>
        <n v="35.799999999999997"/>
      </sharedItems>
    </cacheField>
    <cacheField name="WeekNumber" numFmtId="0">
      <sharedItems containsSemiMixedTypes="0" containsString="0" containsNumber="1" containsInteger="1" minValue="9" maxValue="12" count="4">
        <n v="9"/>
        <n v="12"/>
        <n v="11"/>
        <n v="10"/>
      </sharedItems>
    </cacheField>
    <cacheField name="SLA_Met" numFmtId="0">
      <sharedItems/>
    </cacheField>
    <cacheField name="SLA_Flag" numFmtId="0">
      <sharedItems containsSemiMixedTypes="0" containsString="0" containsNumber="1" containsInteger="1" minValue="0" maxValue="1"/>
    </cacheField>
    <cacheField name="Resolution_Bucket" numFmtId="0">
      <sharedItems/>
    </cacheField>
    <cacheField name="Response_Speed_Bucket" numFmtId="0">
      <sharedItems/>
    </cacheField>
    <cacheField name="Ticket_Count" numFmtId="0">
      <sharedItems containsSemiMixedTypes="0" containsString="0" containsNumber="1" containsInteger="1" minValue="1" maxValue="1"/>
    </cacheField>
    <cacheField name="SLA%" numFmtId="0" formula="SLA_Flag/Ticket_Count" databaseField="0"/>
  </cacheFields>
  <extLst>
    <ext xmlns:x14="http://schemas.microsoft.com/office/spreadsheetml/2009/9/main" uri="{725AE2AE-9491-48be-B2B4-4EB974FC3084}">
      <x14:pivotCacheDefinition pivotCacheId="119460446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kt-0000"/>
    <d v="2025-12-09T21:00:00"/>
    <x v="0"/>
    <x v="0"/>
    <x v="0"/>
    <x v="0"/>
    <x v="0"/>
    <n v="7.5"/>
    <x v="0"/>
    <x v="0"/>
    <s v="No"/>
    <n v="0"/>
    <s v="Within 24h"/>
    <s v="Slow"/>
    <n v="1"/>
  </r>
  <r>
    <s v="Tkt-0001"/>
    <d v="2026-02-25T01:00:00"/>
    <x v="0"/>
    <x v="1"/>
    <x v="0"/>
    <x v="0"/>
    <x v="0"/>
    <n v="5"/>
    <x v="1"/>
    <x v="1"/>
    <s v="No"/>
    <n v="0"/>
    <s v="Within 24h"/>
    <s v="Slow"/>
    <n v="1"/>
  </r>
  <r>
    <s v="Tkt-0002"/>
    <d v="2026-01-24T17:00:00"/>
    <x v="0"/>
    <x v="2"/>
    <x v="1"/>
    <x v="1"/>
    <x v="0"/>
    <n v="2.7"/>
    <x v="2"/>
    <x v="2"/>
    <s v="Yes"/>
    <n v="1"/>
    <s v="Within 24h"/>
    <s v="Medium"/>
    <n v="1"/>
  </r>
  <r>
    <s v="Tkt-0003"/>
    <d v="2026-01-31T20:00:00"/>
    <x v="0"/>
    <x v="1"/>
    <x v="0"/>
    <x v="0"/>
    <x v="0"/>
    <n v="5.3"/>
    <x v="3"/>
    <x v="3"/>
    <s v="No"/>
    <n v="0"/>
    <s v="Within 24h"/>
    <s v="Slow"/>
    <n v="1"/>
  </r>
  <r>
    <s v="Tkt-0004"/>
    <d v="2026-02-15T03:00:00"/>
    <x v="1"/>
    <x v="2"/>
    <x v="0"/>
    <x v="0"/>
    <x v="0"/>
    <n v="3.1"/>
    <x v="4"/>
    <x v="1"/>
    <s v="Yes"/>
    <n v="1"/>
    <s v="Within 24h"/>
    <s v="Medium"/>
    <n v="1"/>
  </r>
  <r>
    <s v="Tkt-0005"/>
    <d v="2025-12-21T22:00:00"/>
    <x v="1"/>
    <x v="1"/>
    <x v="2"/>
    <x v="0"/>
    <x v="0"/>
    <n v="2.5"/>
    <x v="5"/>
    <x v="0"/>
    <s v="Yes"/>
    <n v="1"/>
    <s v="Within 24h"/>
    <s v="Medium"/>
    <n v="1"/>
  </r>
  <r>
    <s v="Tkt-0006"/>
    <d v="2025-12-15T11:00:00"/>
    <x v="2"/>
    <x v="1"/>
    <x v="3"/>
    <x v="0"/>
    <x v="0"/>
    <n v="1.3"/>
    <x v="6"/>
    <x v="2"/>
    <s v="Yes"/>
    <n v="1"/>
    <s v="Within 24h"/>
    <s v="Medium"/>
    <n v="1"/>
  </r>
  <r>
    <s v="Tkt-0007"/>
    <d v="2026-02-25T00:00:00"/>
    <x v="0"/>
    <x v="2"/>
    <x v="2"/>
    <x v="2"/>
    <x v="1"/>
    <n v="0.1"/>
    <x v="7"/>
    <x v="3"/>
    <s v="Yes"/>
    <n v="1"/>
    <s v="Within 24h"/>
    <s v="Fast"/>
    <n v="1"/>
  </r>
  <r>
    <s v="Tkt-0008"/>
    <d v="2026-02-17T18:00:00"/>
    <x v="0"/>
    <x v="0"/>
    <x v="0"/>
    <x v="0"/>
    <x v="0"/>
    <n v="3.2"/>
    <x v="8"/>
    <x v="0"/>
    <s v="Yes"/>
    <n v="1"/>
    <s v="Within 24h"/>
    <s v="Medium"/>
    <n v="1"/>
  </r>
  <r>
    <s v="Tkt-0009"/>
    <d v="2026-01-30T08:00:00"/>
    <x v="0"/>
    <x v="1"/>
    <x v="3"/>
    <x v="3"/>
    <x v="1"/>
    <n v="4.5999999999999996"/>
    <x v="9"/>
    <x v="2"/>
    <s v="No"/>
    <n v="0"/>
    <s v="Within 24h"/>
    <s v="Slow"/>
    <n v="1"/>
  </r>
  <r>
    <s v="Tkt-0010"/>
    <d v="2025-12-14T00:00:00"/>
    <x v="2"/>
    <x v="0"/>
    <x v="0"/>
    <x v="1"/>
    <x v="0"/>
    <n v="4"/>
    <x v="10"/>
    <x v="0"/>
    <s v="No"/>
    <n v="0"/>
    <s v="Within 24h"/>
    <s v="Medium"/>
    <n v="1"/>
  </r>
  <r>
    <s v="Tkt-0011"/>
    <d v="2025-12-19T18:00:00"/>
    <x v="0"/>
    <x v="2"/>
    <x v="0"/>
    <x v="1"/>
    <x v="0"/>
    <n v="3.2"/>
    <x v="11"/>
    <x v="2"/>
    <s v="Yes"/>
    <n v="1"/>
    <s v="Within 24h"/>
    <s v="Medium"/>
    <n v="1"/>
  </r>
  <r>
    <s v="Tkt-0012"/>
    <d v="2025-12-07T02:00:00"/>
    <x v="0"/>
    <x v="2"/>
    <x v="1"/>
    <x v="1"/>
    <x v="0"/>
    <n v="1.8"/>
    <x v="5"/>
    <x v="3"/>
    <s v="Yes"/>
    <n v="1"/>
    <s v="Within 24h"/>
    <s v="Medium"/>
    <n v="1"/>
  </r>
  <r>
    <s v="Tkt-0013"/>
    <d v="2025-12-21T11:00:00"/>
    <x v="0"/>
    <x v="0"/>
    <x v="0"/>
    <x v="1"/>
    <x v="0"/>
    <n v="5.7"/>
    <x v="12"/>
    <x v="3"/>
    <s v="No"/>
    <n v="0"/>
    <s v="Within 24h"/>
    <s v="Slow"/>
    <n v="1"/>
  </r>
  <r>
    <s v="Tkt-0014"/>
    <d v="2026-01-31T10:00:00"/>
    <x v="1"/>
    <x v="1"/>
    <x v="3"/>
    <x v="0"/>
    <x v="0"/>
    <n v="0.9"/>
    <x v="13"/>
    <x v="0"/>
    <s v="Yes"/>
    <n v="1"/>
    <s v="Within 24h"/>
    <s v="Fast"/>
    <n v="1"/>
  </r>
  <r>
    <s v="Tkt-0015"/>
    <d v="2025-12-15T16:00:00"/>
    <x v="1"/>
    <x v="2"/>
    <x v="3"/>
    <x v="1"/>
    <x v="0"/>
    <n v="6.1"/>
    <x v="14"/>
    <x v="2"/>
    <s v="No"/>
    <n v="0"/>
    <s v="Within 24h"/>
    <s v="Slow"/>
    <n v="1"/>
  </r>
  <r>
    <s v="Tkt-0016"/>
    <d v="2026-02-28T19:00:00"/>
    <x v="0"/>
    <x v="0"/>
    <x v="3"/>
    <x v="0"/>
    <x v="0"/>
    <n v="1.7"/>
    <x v="15"/>
    <x v="1"/>
    <s v="Yes"/>
    <n v="1"/>
    <s v="Within 24h"/>
    <s v="Medium"/>
    <n v="1"/>
  </r>
  <r>
    <s v="Tkt-0017"/>
    <d v="2025-12-01T11:00:00"/>
    <x v="0"/>
    <x v="1"/>
    <x v="2"/>
    <x v="1"/>
    <x v="0"/>
    <n v="2.2999999999999998"/>
    <x v="16"/>
    <x v="3"/>
    <s v="Yes"/>
    <n v="1"/>
    <s v="Within 24h"/>
    <s v="Medium"/>
    <n v="1"/>
  </r>
  <r>
    <s v="Tkt-0018"/>
    <d v="2026-01-16T16:00:00"/>
    <x v="0"/>
    <x v="2"/>
    <x v="0"/>
    <x v="3"/>
    <x v="1"/>
    <n v="0.5"/>
    <x v="17"/>
    <x v="1"/>
    <s v="Yes"/>
    <n v="1"/>
    <s v="Within 24h"/>
    <s v="Fast"/>
    <n v="1"/>
  </r>
  <r>
    <s v="Tkt-0019"/>
    <d v="2026-02-09T18:00:00"/>
    <x v="0"/>
    <x v="0"/>
    <x v="4"/>
    <x v="0"/>
    <x v="0"/>
    <n v="2.9"/>
    <x v="18"/>
    <x v="1"/>
    <s v="Yes"/>
    <n v="1"/>
    <s v="Within 24h"/>
    <s v="Medium"/>
    <n v="1"/>
  </r>
  <r>
    <s v="Tkt-0020"/>
    <d v="2026-01-16T21:00:00"/>
    <x v="0"/>
    <x v="1"/>
    <x v="1"/>
    <x v="1"/>
    <x v="0"/>
    <n v="6.6"/>
    <x v="19"/>
    <x v="0"/>
    <s v="No"/>
    <n v="0"/>
    <s v="24-48h"/>
    <s v="Slow"/>
    <n v="1"/>
  </r>
  <r>
    <s v="Tkt-0021"/>
    <d v="2026-02-17T12:00:00"/>
    <x v="1"/>
    <x v="0"/>
    <x v="4"/>
    <x v="1"/>
    <x v="0"/>
    <n v="5.5"/>
    <x v="20"/>
    <x v="0"/>
    <s v="No"/>
    <n v="0"/>
    <s v="Within 24h"/>
    <s v="Slow"/>
    <n v="1"/>
  </r>
  <r>
    <s v="Tkt-0022"/>
    <d v="2026-02-16T13:00:00"/>
    <x v="0"/>
    <x v="2"/>
    <x v="1"/>
    <x v="0"/>
    <x v="0"/>
    <n v="6.6"/>
    <x v="21"/>
    <x v="0"/>
    <s v="No"/>
    <n v="0"/>
    <s v="Within 24h"/>
    <s v="Slow"/>
    <n v="1"/>
  </r>
  <r>
    <s v="Tkt-0023"/>
    <d v="2026-01-15T05:00:00"/>
    <x v="0"/>
    <x v="2"/>
    <x v="0"/>
    <x v="1"/>
    <x v="0"/>
    <n v="5.5"/>
    <x v="22"/>
    <x v="2"/>
    <s v="No"/>
    <n v="0"/>
    <s v="Within 24h"/>
    <s v="Slow"/>
    <n v="1"/>
  </r>
  <r>
    <s v="Tkt-0024"/>
    <d v="2026-01-26T23:00:00"/>
    <x v="0"/>
    <x v="2"/>
    <x v="3"/>
    <x v="3"/>
    <x v="1"/>
    <n v="1.4"/>
    <x v="23"/>
    <x v="3"/>
    <s v="Yes"/>
    <n v="1"/>
    <s v="Within 24h"/>
    <s v="Medium"/>
    <n v="1"/>
  </r>
  <r>
    <s v="Tkt-0025"/>
    <d v="2026-01-01T07:00:00"/>
    <x v="0"/>
    <x v="1"/>
    <x v="0"/>
    <x v="1"/>
    <x v="0"/>
    <n v="3.4"/>
    <x v="24"/>
    <x v="3"/>
    <s v="Yes"/>
    <n v="1"/>
    <s v="Within 24h"/>
    <s v="Medium"/>
    <n v="1"/>
  </r>
  <r>
    <s v="Tkt-0026"/>
    <d v="2026-02-13T12:00:00"/>
    <x v="1"/>
    <x v="2"/>
    <x v="4"/>
    <x v="0"/>
    <x v="0"/>
    <n v="2.2000000000000002"/>
    <x v="25"/>
    <x v="1"/>
    <s v="Yes"/>
    <n v="1"/>
    <s v="Within 24h"/>
    <s v="Medium"/>
    <n v="1"/>
  </r>
  <r>
    <s v="Tkt-0027"/>
    <d v="2026-02-18T07:00:00"/>
    <x v="0"/>
    <x v="2"/>
    <x v="1"/>
    <x v="0"/>
    <x v="0"/>
    <n v="7.5"/>
    <x v="26"/>
    <x v="0"/>
    <s v="No"/>
    <n v="0"/>
    <s v="Within 24h"/>
    <s v="Slow"/>
    <n v="1"/>
  </r>
  <r>
    <s v="Tkt-0028"/>
    <d v="2026-01-22T04:00:00"/>
    <x v="0"/>
    <x v="0"/>
    <x v="0"/>
    <x v="0"/>
    <x v="0"/>
    <n v="1.2"/>
    <x v="27"/>
    <x v="2"/>
    <s v="Yes"/>
    <n v="1"/>
    <s v="24-48h"/>
    <s v="Medium"/>
    <n v="1"/>
  </r>
  <r>
    <s v="Tkt-0029"/>
    <d v="2025-12-11T13:00:00"/>
    <x v="2"/>
    <x v="2"/>
    <x v="4"/>
    <x v="0"/>
    <x v="0"/>
    <n v="6.4"/>
    <x v="11"/>
    <x v="3"/>
    <s v="No"/>
    <n v="0"/>
    <s v="Within 24h"/>
    <s v="Slow"/>
    <n v="1"/>
  </r>
  <r>
    <s v="Tkt-0030"/>
    <d v="2025-12-17T18:00:00"/>
    <x v="0"/>
    <x v="0"/>
    <x v="0"/>
    <x v="4"/>
    <x v="2"/>
    <n v="6.4"/>
    <x v="28"/>
    <x v="2"/>
    <s v="No"/>
    <n v="0"/>
    <s v="Within 24h"/>
    <s v="Slow"/>
    <n v="1"/>
  </r>
  <r>
    <s v="Tkt-0031"/>
    <d v="2026-02-20T23:00:00"/>
    <x v="1"/>
    <x v="1"/>
    <x v="4"/>
    <x v="1"/>
    <x v="0"/>
    <n v="8.8000000000000007"/>
    <x v="29"/>
    <x v="0"/>
    <s v="No"/>
    <n v="0"/>
    <s v="Within 24h"/>
    <s v="Slow"/>
    <n v="1"/>
  </r>
  <r>
    <s v="Tkt-0032"/>
    <d v="2025-12-06T17:00:00"/>
    <x v="2"/>
    <x v="0"/>
    <x v="3"/>
    <x v="0"/>
    <x v="0"/>
    <n v="3.2"/>
    <x v="30"/>
    <x v="0"/>
    <s v="Yes"/>
    <n v="1"/>
    <s v="Within 24h"/>
    <s v="Medium"/>
    <n v="1"/>
  </r>
  <r>
    <s v="Tkt-0033"/>
    <d v="2026-01-22T22:00:00"/>
    <x v="0"/>
    <x v="0"/>
    <x v="1"/>
    <x v="3"/>
    <x v="1"/>
    <n v="6"/>
    <x v="31"/>
    <x v="3"/>
    <s v="No"/>
    <n v="0"/>
    <s v="Within 24h"/>
    <s v="Slow"/>
    <n v="1"/>
  </r>
  <r>
    <s v="Tkt-0034"/>
    <d v="2026-01-30T21:00:00"/>
    <x v="0"/>
    <x v="0"/>
    <x v="4"/>
    <x v="1"/>
    <x v="0"/>
    <n v="9.9"/>
    <x v="32"/>
    <x v="1"/>
    <s v="No"/>
    <n v="0"/>
    <s v="Within 24h"/>
    <s v="Slow"/>
    <n v="1"/>
  </r>
  <r>
    <s v="Tkt-0035"/>
    <d v="2026-01-11T16:00:00"/>
    <x v="0"/>
    <x v="1"/>
    <x v="3"/>
    <x v="1"/>
    <x v="0"/>
    <n v="2.7"/>
    <x v="5"/>
    <x v="1"/>
    <s v="Yes"/>
    <n v="1"/>
    <s v="Within 24h"/>
    <s v="Medium"/>
    <n v="1"/>
  </r>
  <r>
    <s v="Tkt-0036"/>
    <d v="2026-01-01T04:00:00"/>
    <x v="0"/>
    <x v="0"/>
    <x v="0"/>
    <x v="1"/>
    <x v="0"/>
    <n v="0.4"/>
    <x v="5"/>
    <x v="0"/>
    <s v="Yes"/>
    <n v="1"/>
    <s v="Within 24h"/>
    <s v="Fast"/>
    <n v="1"/>
  </r>
  <r>
    <s v="Tkt-0037"/>
    <d v="2026-01-13T19:00:00"/>
    <x v="1"/>
    <x v="1"/>
    <x v="0"/>
    <x v="0"/>
    <x v="0"/>
    <n v="0.1"/>
    <x v="33"/>
    <x v="0"/>
    <s v="Yes"/>
    <n v="1"/>
    <s v="Within 24h"/>
    <s v="Fast"/>
    <n v="1"/>
  </r>
  <r>
    <s v="Tkt-0038"/>
    <d v="2026-01-12T13:00:00"/>
    <x v="0"/>
    <x v="0"/>
    <x v="0"/>
    <x v="3"/>
    <x v="1"/>
    <n v="6"/>
    <x v="34"/>
    <x v="1"/>
    <s v="No"/>
    <n v="0"/>
    <s v="Within 24h"/>
    <s v="Slow"/>
    <n v="1"/>
  </r>
  <r>
    <s v="Tkt-0039"/>
    <d v="2026-02-02T03:00:00"/>
    <x v="0"/>
    <x v="0"/>
    <x v="0"/>
    <x v="1"/>
    <x v="0"/>
    <n v="0.1"/>
    <x v="5"/>
    <x v="0"/>
    <s v="Yes"/>
    <n v="1"/>
    <s v="Within 24h"/>
    <s v="Fast"/>
    <n v="1"/>
  </r>
  <r>
    <s v="Tkt-0040"/>
    <d v="2026-01-25T02:00:00"/>
    <x v="1"/>
    <x v="1"/>
    <x v="2"/>
    <x v="4"/>
    <x v="2"/>
    <n v="3.3"/>
    <x v="5"/>
    <x v="3"/>
    <s v="Yes"/>
    <n v="1"/>
    <s v="Within 24h"/>
    <s v="Medium"/>
    <n v="1"/>
  </r>
  <r>
    <s v="Tkt-0041"/>
    <d v="2025-12-03T04:00:00"/>
    <x v="0"/>
    <x v="2"/>
    <x v="4"/>
    <x v="0"/>
    <x v="0"/>
    <n v="5.3"/>
    <x v="35"/>
    <x v="3"/>
    <s v="No"/>
    <n v="0"/>
    <s v="Within 24h"/>
    <s v="Slow"/>
    <n v="1"/>
  </r>
  <r>
    <s v="Tkt-0042"/>
    <d v="2026-02-19T05:00:00"/>
    <x v="2"/>
    <x v="0"/>
    <x v="3"/>
    <x v="3"/>
    <x v="1"/>
    <n v="4.7"/>
    <x v="36"/>
    <x v="2"/>
    <s v="No"/>
    <n v="0"/>
    <s v="Within 24h"/>
    <s v="Slow"/>
    <n v="1"/>
  </r>
  <r>
    <s v="Tkt-0043"/>
    <d v="2025-12-09T19:00:00"/>
    <x v="0"/>
    <x v="1"/>
    <x v="0"/>
    <x v="1"/>
    <x v="0"/>
    <n v="5.3"/>
    <x v="37"/>
    <x v="1"/>
    <s v="No"/>
    <n v="0"/>
    <s v="Within 24h"/>
    <s v="Slow"/>
    <n v="1"/>
  </r>
  <r>
    <s v="Tkt-0044"/>
    <d v="2025-12-22T01:00:00"/>
    <x v="0"/>
    <x v="2"/>
    <x v="2"/>
    <x v="0"/>
    <x v="0"/>
    <n v="4.8"/>
    <x v="38"/>
    <x v="0"/>
    <s v="No"/>
    <n v="0"/>
    <s v="Within 24h"/>
    <s v="Slow"/>
    <n v="1"/>
  </r>
  <r>
    <s v="Tkt-0045"/>
    <d v="2026-01-28T19:00:00"/>
    <x v="0"/>
    <x v="1"/>
    <x v="4"/>
    <x v="0"/>
    <x v="0"/>
    <n v="7.4"/>
    <x v="39"/>
    <x v="2"/>
    <s v="No"/>
    <n v="0"/>
    <s v="Within 24h"/>
    <s v="Slow"/>
    <n v="1"/>
  </r>
  <r>
    <s v="Tkt-0046"/>
    <d v="2025-12-31T12:00:00"/>
    <x v="0"/>
    <x v="0"/>
    <x v="0"/>
    <x v="1"/>
    <x v="0"/>
    <n v="1.8"/>
    <x v="40"/>
    <x v="3"/>
    <s v="Yes"/>
    <n v="1"/>
    <s v="Within 24h"/>
    <s v="Medium"/>
    <n v="1"/>
  </r>
  <r>
    <s v="Tkt-0047"/>
    <d v="2026-01-25T04:00:00"/>
    <x v="0"/>
    <x v="0"/>
    <x v="4"/>
    <x v="1"/>
    <x v="0"/>
    <n v="2.5"/>
    <x v="41"/>
    <x v="1"/>
    <s v="Yes"/>
    <n v="1"/>
    <s v="Within 24h"/>
    <s v="Medium"/>
    <n v="1"/>
  </r>
  <r>
    <s v="Tkt-0048"/>
    <d v="2025-12-02T07:00:00"/>
    <x v="0"/>
    <x v="2"/>
    <x v="3"/>
    <x v="1"/>
    <x v="0"/>
    <n v="2.2999999999999998"/>
    <x v="42"/>
    <x v="3"/>
    <s v="Yes"/>
    <n v="1"/>
    <s v="Within 24h"/>
    <s v="Medium"/>
    <n v="1"/>
  </r>
  <r>
    <s v="Tkt-0049"/>
    <d v="2026-01-31T03:00:00"/>
    <x v="1"/>
    <x v="0"/>
    <x v="0"/>
    <x v="1"/>
    <x v="0"/>
    <n v="6.3"/>
    <x v="5"/>
    <x v="0"/>
    <s v="No"/>
    <n v="0"/>
    <s v="Within 24h"/>
    <s v="Slow"/>
    <n v="1"/>
  </r>
  <r>
    <s v="Tkt-0050"/>
    <d v="2026-01-18T23:00:00"/>
    <x v="0"/>
    <x v="2"/>
    <x v="3"/>
    <x v="4"/>
    <x v="2"/>
    <n v="6.5"/>
    <x v="43"/>
    <x v="2"/>
    <s v="No"/>
    <n v="0"/>
    <s v="Within 24h"/>
    <s v="Slow"/>
    <n v="1"/>
  </r>
  <r>
    <s v="Tkt-0051"/>
    <d v="2026-01-30T23:00:00"/>
    <x v="0"/>
    <x v="1"/>
    <x v="3"/>
    <x v="1"/>
    <x v="0"/>
    <n v="5.3"/>
    <x v="44"/>
    <x v="0"/>
    <s v="No"/>
    <n v="0"/>
    <s v="Within 24h"/>
    <s v="Slow"/>
    <n v="1"/>
  </r>
  <r>
    <s v="Tkt-0052"/>
    <d v="2026-01-19T12:00:00"/>
    <x v="0"/>
    <x v="2"/>
    <x v="0"/>
    <x v="1"/>
    <x v="0"/>
    <n v="7.2"/>
    <x v="4"/>
    <x v="0"/>
    <s v="No"/>
    <n v="0"/>
    <s v="Within 24h"/>
    <s v="Slow"/>
    <n v="1"/>
  </r>
  <r>
    <s v="Tkt-0053"/>
    <d v="2026-01-25T22:00:00"/>
    <x v="0"/>
    <x v="2"/>
    <x v="1"/>
    <x v="1"/>
    <x v="0"/>
    <n v="1.3"/>
    <x v="45"/>
    <x v="1"/>
    <s v="Yes"/>
    <n v="1"/>
    <s v="Within 24h"/>
    <s v="Medium"/>
    <n v="1"/>
  </r>
  <r>
    <s v="Tkt-0054"/>
    <d v="2026-02-01T06:00:00"/>
    <x v="0"/>
    <x v="2"/>
    <x v="2"/>
    <x v="0"/>
    <x v="0"/>
    <n v="8.4"/>
    <x v="7"/>
    <x v="1"/>
    <s v="No"/>
    <n v="0"/>
    <s v="Within 24h"/>
    <s v="Slow"/>
    <n v="1"/>
  </r>
  <r>
    <s v="Tkt-0055"/>
    <d v="2026-01-19T18:00:00"/>
    <x v="0"/>
    <x v="0"/>
    <x v="4"/>
    <x v="0"/>
    <x v="0"/>
    <n v="8"/>
    <x v="5"/>
    <x v="0"/>
    <s v="No"/>
    <n v="0"/>
    <s v="Within 24h"/>
    <s v="Slow"/>
    <n v="1"/>
  </r>
  <r>
    <s v="Tkt-0056"/>
    <d v="2025-12-07T09:00:00"/>
    <x v="1"/>
    <x v="2"/>
    <x v="3"/>
    <x v="0"/>
    <x v="0"/>
    <n v="6"/>
    <x v="46"/>
    <x v="1"/>
    <s v="No"/>
    <n v="0"/>
    <s v="Within 24h"/>
    <s v="Slow"/>
    <n v="1"/>
  </r>
  <r>
    <s v="Tkt-0057"/>
    <d v="2026-01-09T04:00:00"/>
    <x v="1"/>
    <x v="0"/>
    <x v="3"/>
    <x v="3"/>
    <x v="1"/>
    <n v="8.6999999999999993"/>
    <x v="47"/>
    <x v="2"/>
    <s v="No"/>
    <n v="0"/>
    <s v="Within 24h"/>
    <s v="Slow"/>
    <n v="1"/>
  </r>
  <r>
    <s v="Tkt-0058"/>
    <d v="2026-01-01T20:00:00"/>
    <x v="2"/>
    <x v="1"/>
    <x v="4"/>
    <x v="3"/>
    <x v="1"/>
    <n v="0.1"/>
    <x v="48"/>
    <x v="2"/>
    <s v="Yes"/>
    <n v="1"/>
    <s v="24-48h"/>
    <s v="Fast"/>
    <n v="1"/>
  </r>
  <r>
    <s v="Tkt-0059"/>
    <d v="2026-01-26T20:00:00"/>
    <x v="0"/>
    <x v="1"/>
    <x v="3"/>
    <x v="0"/>
    <x v="0"/>
    <n v="2.9"/>
    <x v="13"/>
    <x v="0"/>
    <s v="Yes"/>
    <n v="1"/>
    <s v="Within 24h"/>
    <s v="Medium"/>
    <n v="1"/>
  </r>
  <r>
    <s v="Tkt-0060"/>
    <d v="2026-01-28T01:00:00"/>
    <x v="0"/>
    <x v="2"/>
    <x v="0"/>
    <x v="1"/>
    <x v="0"/>
    <n v="2.4"/>
    <x v="49"/>
    <x v="2"/>
    <s v="Yes"/>
    <n v="1"/>
    <s v="Within 24h"/>
    <s v="Medium"/>
    <n v="1"/>
  </r>
  <r>
    <s v="Tkt-0061"/>
    <d v="2025-12-19T07:00:00"/>
    <x v="0"/>
    <x v="2"/>
    <x v="3"/>
    <x v="3"/>
    <x v="1"/>
    <n v="6"/>
    <x v="5"/>
    <x v="0"/>
    <s v="No"/>
    <n v="0"/>
    <s v="Within 24h"/>
    <s v="Slow"/>
    <n v="1"/>
  </r>
  <r>
    <s v="Tkt-0062"/>
    <d v="2026-01-26T01:00:00"/>
    <x v="0"/>
    <x v="2"/>
    <x v="2"/>
    <x v="0"/>
    <x v="0"/>
    <n v="1.6"/>
    <x v="5"/>
    <x v="2"/>
    <s v="Yes"/>
    <n v="1"/>
    <s v="Within 24h"/>
    <s v="Medium"/>
    <n v="1"/>
  </r>
  <r>
    <s v="Tkt-0063"/>
    <d v="2025-12-16T11:00:00"/>
    <x v="0"/>
    <x v="1"/>
    <x v="3"/>
    <x v="0"/>
    <x v="0"/>
    <n v="6.1"/>
    <x v="50"/>
    <x v="3"/>
    <s v="No"/>
    <n v="0"/>
    <s v="Within 24h"/>
    <s v="Slow"/>
    <n v="1"/>
  </r>
  <r>
    <s v="Tkt-0064"/>
    <d v="2025-12-16T12:00:00"/>
    <x v="0"/>
    <x v="1"/>
    <x v="0"/>
    <x v="0"/>
    <x v="0"/>
    <n v="7.6"/>
    <x v="51"/>
    <x v="0"/>
    <s v="No"/>
    <n v="0"/>
    <s v="Within 24h"/>
    <s v="Slow"/>
    <n v="1"/>
  </r>
  <r>
    <s v="Tkt-0065"/>
    <d v="2026-01-13T17:00:00"/>
    <x v="0"/>
    <x v="1"/>
    <x v="2"/>
    <x v="1"/>
    <x v="0"/>
    <n v="5.9"/>
    <x v="52"/>
    <x v="2"/>
    <s v="No"/>
    <n v="0"/>
    <s v="Within 24h"/>
    <s v="Slow"/>
    <n v="1"/>
  </r>
  <r>
    <s v="Tkt-0066"/>
    <d v="2026-02-11T08:00:00"/>
    <x v="1"/>
    <x v="0"/>
    <x v="0"/>
    <x v="2"/>
    <x v="1"/>
    <n v="4.9000000000000004"/>
    <x v="53"/>
    <x v="3"/>
    <s v="No"/>
    <n v="0"/>
    <s v="Within 24h"/>
    <s v="Slow"/>
    <n v="1"/>
  </r>
  <r>
    <s v="Tkt-0067"/>
    <d v="2025-12-27T22:00:00"/>
    <x v="0"/>
    <x v="0"/>
    <x v="0"/>
    <x v="0"/>
    <x v="0"/>
    <n v="1.7"/>
    <x v="54"/>
    <x v="0"/>
    <s v="Yes"/>
    <n v="1"/>
    <s v="Within 24h"/>
    <s v="Medium"/>
    <n v="1"/>
  </r>
  <r>
    <s v="Tkt-0068"/>
    <d v="2026-02-22T21:00:00"/>
    <x v="2"/>
    <x v="0"/>
    <x v="0"/>
    <x v="1"/>
    <x v="0"/>
    <n v="2.1"/>
    <x v="55"/>
    <x v="2"/>
    <s v="Yes"/>
    <n v="1"/>
    <s v="24-48h"/>
    <s v="Medium"/>
    <n v="1"/>
  </r>
  <r>
    <s v="Tkt-0069"/>
    <d v="2026-02-09T04:00:00"/>
    <x v="0"/>
    <x v="0"/>
    <x v="3"/>
    <x v="0"/>
    <x v="0"/>
    <n v="7.3"/>
    <x v="56"/>
    <x v="2"/>
    <s v="No"/>
    <n v="0"/>
    <s v="Within 24h"/>
    <s v="Slow"/>
    <n v="1"/>
  </r>
  <r>
    <s v="Tkt-0070"/>
    <d v="2026-02-08T03:00:00"/>
    <x v="0"/>
    <x v="0"/>
    <x v="2"/>
    <x v="0"/>
    <x v="0"/>
    <n v="6.1"/>
    <x v="21"/>
    <x v="3"/>
    <s v="No"/>
    <n v="0"/>
    <s v="Within 24h"/>
    <s v="Slow"/>
    <n v="1"/>
  </r>
  <r>
    <s v="Tkt-0071"/>
    <d v="2026-01-05T05:00:00"/>
    <x v="1"/>
    <x v="0"/>
    <x v="3"/>
    <x v="0"/>
    <x v="0"/>
    <n v="4.0999999999999996"/>
    <x v="2"/>
    <x v="1"/>
    <s v="No"/>
    <n v="0"/>
    <s v="Within 24h"/>
    <s v="Slow"/>
    <n v="1"/>
  </r>
  <r>
    <s v="Tkt-0072"/>
    <d v="2026-02-20T12:00:00"/>
    <x v="2"/>
    <x v="0"/>
    <x v="0"/>
    <x v="1"/>
    <x v="0"/>
    <n v="3.2"/>
    <x v="5"/>
    <x v="1"/>
    <s v="Yes"/>
    <n v="1"/>
    <s v="Within 24h"/>
    <s v="Medium"/>
    <n v="1"/>
  </r>
  <r>
    <s v="Tkt-0073"/>
    <d v="2026-01-11T05:00:00"/>
    <x v="0"/>
    <x v="0"/>
    <x v="2"/>
    <x v="1"/>
    <x v="0"/>
    <n v="0.1"/>
    <x v="57"/>
    <x v="3"/>
    <s v="Yes"/>
    <n v="1"/>
    <s v="Within 24h"/>
    <s v="Fast"/>
    <n v="1"/>
  </r>
  <r>
    <s v="Tkt-0074"/>
    <d v="2025-12-31T08:00:00"/>
    <x v="0"/>
    <x v="2"/>
    <x v="2"/>
    <x v="0"/>
    <x v="0"/>
    <n v="1.5"/>
    <x v="58"/>
    <x v="3"/>
    <s v="Yes"/>
    <n v="1"/>
    <s v="Within 24h"/>
    <s v="Medium"/>
    <n v="1"/>
  </r>
  <r>
    <s v="Tkt-0075"/>
    <d v="2026-01-27T07:00:00"/>
    <x v="0"/>
    <x v="1"/>
    <x v="2"/>
    <x v="0"/>
    <x v="0"/>
    <n v="9"/>
    <x v="42"/>
    <x v="0"/>
    <s v="No"/>
    <n v="0"/>
    <s v="Within 24h"/>
    <s v="Slow"/>
    <n v="1"/>
  </r>
  <r>
    <s v="Tkt-0076"/>
    <d v="2026-02-27T03:00:00"/>
    <x v="0"/>
    <x v="0"/>
    <x v="0"/>
    <x v="0"/>
    <x v="0"/>
    <n v="1"/>
    <x v="5"/>
    <x v="1"/>
    <s v="Yes"/>
    <n v="1"/>
    <s v="Within 24h"/>
    <s v="Fast"/>
    <n v="1"/>
  </r>
  <r>
    <s v="Tkt-0077"/>
    <d v="2026-02-14T03:00:00"/>
    <x v="2"/>
    <x v="1"/>
    <x v="3"/>
    <x v="3"/>
    <x v="1"/>
    <n v="4.7"/>
    <x v="59"/>
    <x v="0"/>
    <s v="No"/>
    <n v="0"/>
    <s v="Within 24h"/>
    <s v="Slow"/>
    <n v="1"/>
  </r>
  <r>
    <s v="Tkt-0078"/>
    <d v="2025-12-22T16:00:00"/>
    <x v="0"/>
    <x v="0"/>
    <x v="1"/>
    <x v="4"/>
    <x v="2"/>
    <n v="6.7"/>
    <x v="60"/>
    <x v="2"/>
    <s v="No"/>
    <n v="0"/>
    <s v="Within 24h"/>
    <s v="Slow"/>
    <n v="1"/>
  </r>
  <r>
    <s v="Tkt-0079"/>
    <d v="2025-12-08T14:00:00"/>
    <x v="1"/>
    <x v="2"/>
    <x v="2"/>
    <x v="0"/>
    <x v="0"/>
    <n v="1.1000000000000001"/>
    <x v="61"/>
    <x v="3"/>
    <s v="Yes"/>
    <n v="1"/>
    <s v="Within 24h"/>
    <s v="Medium"/>
    <n v="1"/>
  </r>
  <r>
    <s v="Tkt-0080"/>
    <d v="2026-02-14T15:00:00"/>
    <x v="0"/>
    <x v="2"/>
    <x v="0"/>
    <x v="0"/>
    <x v="0"/>
    <n v="4.7"/>
    <x v="62"/>
    <x v="0"/>
    <s v="No"/>
    <n v="0"/>
    <s v="24-48h"/>
    <s v="Slow"/>
    <n v="1"/>
  </r>
  <r>
    <s v="Tkt-0081"/>
    <d v="2026-01-04T19:00:00"/>
    <x v="0"/>
    <x v="0"/>
    <x v="0"/>
    <x v="0"/>
    <x v="0"/>
    <n v="6.5"/>
    <x v="63"/>
    <x v="3"/>
    <s v="No"/>
    <n v="0"/>
    <s v="Within 24h"/>
    <s v="Slow"/>
    <n v="1"/>
  </r>
  <r>
    <s v="Tkt-0082"/>
    <d v="2026-01-02T00:00:00"/>
    <x v="0"/>
    <x v="1"/>
    <x v="3"/>
    <x v="4"/>
    <x v="2"/>
    <n v="4.2"/>
    <x v="5"/>
    <x v="0"/>
    <s v="No"/>
    <n v="0"/>
    <s v="Within 24h"/>
    <s v="Slow"/>
    <n v="1"/>
  </r>
  <r>
    <s v="Tkt-0083"/>
    <d v="2026-01-26T08:00:00"/>
    <x v="2"/>
    <x v="2"/>
    <x v="1"/>
    <x v="0"/>
    <x v="0"/>
    <n v="11.4"/>
    <x v="64"/>
    <x v="2"/>
    <s v="No"/>
    <n v="0"/>
    <s v="Within 24h"/>
    <s v="Slow"/>
    <n v="1"/>
  </r>
  <r>
    <s v="Tkt-0084"/>
    <d v="2026-02-06T08:00:00"/>
    <x v="0"/>
    <x v="2"/>
    <x v="3"/>
    <x v="0"/>
    <x v="0"/>
    <n v="0.1"/>
    <x v="24"/>
    <x v="2"/>
    <s v="Yes"/>
    <n v="1"/>
    <s v="Within 24h"/>
    <s v="Fast"/>
    <n v="1"/>
  </r>
  <r>
    <s v="Tkt-0085"/>
    <d v="2026-02-15T04:00:00"/>
    <x v="0"/>
    <x v="1"/>
    <x v="3"/>
    <x v="0"/>
    <x v="0"/>
    <n v="6.8"/>
    <x v="65"/>
    <x v="1"/>
    <s v="No"/>
    <n v="0"/>
    <s v="Within 24h"/>
    <s v="Slow"/>
    <n v="1"/>
  </r>
  <r>
    <s v="Tkt-0086"/>
    <d v="2026-01-21T04:00:00"/>
    <x v="0"/>
    <x v="1"/>
    <x v="0"/>
    <x v="1"/>
    <x v="0"/>
    <n v="3.8"/>
    <x v="66"/>
    <x v="1"/>
    <s v="Yes"/>
    <n v="1"/>
    <s v="Within 24h"/>
    <s v="Medium"/>
    <n v="1"/>
  </r>
  <r>
    <s v="Tkt-0087"/>
    <d v="2025-12-26T05:00:00"/>
    <x v="0"/>
    <x v="0"/>
    <x v="4"/>
    <x v="2"/>
    <x v="1"/>
    <n v="6.1"/>
    <x v="5"/>
    <x v="2"/>
    <s v="No"/>
    <n v="0"/>
    <s v="Within 24h"/>
    <s v="Slow"/>
    <n v="1"/>
  </r>
  <r>
    <s v="Tkt-0088"/>
    <d v="2026-02-03T20:00:00"/>
    <x v="0"/>
    <x v="2"/>
    <x v="2"/>
    <x v="0"/>
    <x v="0"/>
    <n v="5.3"/>
    <x v="67"/>
    <x v="0"/>
    <s v="No"/>
    <n v="0"/>
    <s v="Within 24h"/>
    <s v="Slow"/>
    <n v="1"/>
  </r>
  <r>
    <s v="Tkt-0089"/>
    <d v="2026-01-12T19:00:00"/>
    <x v="0"/>
    <x v="0"/>
    <x v="3"/>
    <x v="1"/>
    <x v="0"/>
    <n v="2.4"/>
    <x v="68"/>
    <x v="3"/>
    <s v="Yes"/>
    <n v="1"/>
    <s v="24-48h"/>
    <s v="Medium"/>
    <n v="1"/>
  </r>
  <r>
    <s v="Tkt-0090"/>
    <d v="2025-12-21T08:00:00"/>
    <x v="1"/>
    <x v="2"/>
    <x v="2"/>
    <x v="1"/>
    <x v="0"/>
    <n v="4.8"/>
    <x v="16"/>
    <x v="2"/>
    <s v="No"/>
    <n v="0"/>
    <s v="Within 24h"/>
    <s v="Slow"/>
    <n v="1"/>
  </r>
  <r>
    <s v="Tkt-0091"/>
    <d v="2026-02-28T05:00:00"/>
    <x v="0"/>
    <x v="1"/>
    <x v="1"/>
    <x v="0"/>
    <x v="0"/>
    <n v="0.1"/>
    <x v="29"/>
    <x v="2"/>
    <s v="Yes"/>
    <n v="1"/>
    <s v="Within 24h"/>
    <s v="Fast"/>
    <n v="1"/>
  </r>
  <r>
    <s v="Tkt-0092"/>
    <d v="2026-01-18T09:00:00"/>
    <x v="0"/>
    <x v="1"/>
    <x v="0"/>
    <x v="1"/>
    <x v="0"/>
    <n v="5.7"/>
    <x v="69"/>
    <x v="0"/>
    <s v="No"/>
    <n v="0"/>
    <s v="Within 24h"/>
    <s v="Slow"/>
    <n v="1"/>
  </r>
  <r>
    <s v="Tkt-0093"/>
    <d v="2026-02-26T21:00:00"/>
    <x v="0"/>
    <x v="1"/>
    <x v="3"/>
    <x v="0"/>
    <x v="0"/>
    <n v="4.9000000000000004"/>
    <x v="70"/>
    <x v="2"/>
    <s v="No"/>
    <n v="0"/>
    <s v="Within 24h"/>
    <s v="Slow"/>
    <n v="1"/>
  </r>
  <r>
    <s v="Tkt-0094"/>
    <d v="2026-01-13T15:00:00"/>
    <x v="0"/>
    <x v="0"/>
    <x v="0"/>
    <x v="4"/>
    <x v="2"/>
    <n v="5.8"/>
    <x v="70"/>
    <x v="2"/>
    <s v="No"/>
    <n v="0"/>
    <s v="Within 24h"/>
    <s v="Slow"/>
    <n v="1"/>
  </r>
  <r>
    <s v="Tkt-0095"/>
    <d v="2026-01-29T23:00:00"/>
    <x v="0"/>
    <x v="0"/>
    <x v="2"/>
    <x v="0"/>
    <x v="0"/>
    <n v="6.8"/>
    <x v="37"/>
    <x v="0"/>
    <s v="No"/>
    <n v="0"/>
    <s v="Within 24h"/>
    <s v="Slow"/>
    <n v="1"/>
  </r>
  <r>
    <s v="Tkt-0096"/>
    <d v="2026-01-29T06:00:00"/>
    <x v="0"/>
    <x v="0"/>
    <x v="4"/>
    <x v="0"/>
    <x v="0"/>
    <n v="5.0999999999999996"/>
    <x v="36"/>
    <x v="2"/>
    <s v="No"/>
    <n v="0"/>
    <s v="Within 24h"/>
    <s v="Slow"/>
    <n v="1"/>
  </r>
  <r>
    <s v="Tkt-0097"/>
    <d v="2026-02-18T22:00:00"/>
    <x v="0"/>
    <x v="0"/>
    <x v="4"/>
    <x v="3"/>
    <x v="1"/>
    <n v="4.5999999999999996"/>
    <x v="71"/>
    <x v="1"/>
    <s v="No"/>
    <n v="0"/>
    <s v="Within 24h"/>
    <s v="Slow"/>
    <n v="1"/>
  </r>
  <r>
    <s v="Tkt-0098"/>
    <d v="2025-12-28T22:00:00"/>
    <x v="2"/>
    <x v="2"/>
    <x v="2"/>
    <x v="2"/>
    <x v="1"/>
    <n v="2"/>
    <x v="72"/>
    <x v="1"/>
    <s v="Yes"/>
    <n v="1"/>
    <s v="Within 24h"/>
    <s v="Medium"/>
    <n v="1"/>
  </r>
  <r>
    <s v="Tkt-0099"/>
    <d v="2025-12-22T20:00:00"/>
    <x v="1"/>
    <x v="0"/>
    <x v="3"/>
    <x v="1"/>
    <x v="0"/>
    <n v="2.4"/>
    <x v="73"/>
    <x v="1"/>
    <s v="Yes"/>
    <n v="1"/>
    <s v="Within 24h"/>
    <s v="Medium"/>
    <n v="1"/>
  </r>
  <r>
    <s v="Tkt-0100"/>
    <d v="2026-02-12T03:00:00"/>
    <x v="2"/>
    <x v="0"/>
    <x v="1"/>
    <x v="3"/>
    <x v="1"/>
    <n v="7.2"/>
    <x v="74"/>
    <x v="1"/>
    <s v="No"/>
    <n v="0"/>
    <s v="Within 24h"/>
    <s v="Slow"/>
    <n v="1"/>
  </r>
  <r>
    <s v="Tkt-0101"/>
    <d v="2025-12-30T07:00:00"/>
    <x v="0"/>
    <x v="2"/>
    <x v="3"/>
    <x v="0"/>
    <x v="0"/>
    <n v="7.8"/>
    <x v="75"/>
    <x v="2"/>
    <s v="No"/>
    <n v="0"/>
    <s v="Within 24h"/>
    <s v="Slow"/>
    <n v="1"/>
  </r>
  <r>
    <s v="Tkt-0102"/>
    <d v="2026-02-07T16:00:00"/>
    <x v="0"/>
    <x v="2"/>
    <x v="0"/>
    <x v="0"/>
    <x v="0"/>
    <n v="3.6"/>
    <x v="76"/>
    <x v="3"/>
    <s v="Yes"/>
    <n v="1"/>
    <s v="Within 24h"/>
    <s v="Medium"/>
    <n v="1"/>
  </r>
  <r>
    <s v="Tkt-0103"/>
    <d v="2025-12-23T05:00:00"/>
    <x v="0"/>
    <x v="2"/>
    <x v="4"/>
    <x v="1"/>
    <x v="0"/>
    <n v="4.3"/>
    <x v="77"/>
    <x v="1"/>
    <s v="No"/>
    <n v="0"/>
    <s v="Within 24h"/>
    <s v="Slow"/>
    <n v="1"/>
  </r>
  <r>
    <s v="Tkt-0104"/>
    <d v="2026-01-05T18:00:00"/>
    <x v="0"/>
    <x v="2"/>
    <x v="2"/>
    <x v="1"/>
    <x v="0"/>
    <n v="1.9"/>
    <x v="78"/>
    <x v="1"/>
    <s v="Yes"/>
    <n v="1"/>
    <s v="Within 24h"/>
    <s v="Medium"/>
    <n v="1"/>
  </r>
  <r>
    <s v="Tkt-0105"/>
    <d v="2025-12-21T01:00:00"/>
    <x v="0"/>
    <x v="0"/>
    <x v="3"/>
    <x v="1"/>
    <x v="0"/>
    <n v="7.1"/>
    <x v="77"/>
    <x v="2"/>
    <s v="No"/>
    <n v="0"/>
    <s v="Within 24h"/>
    <s v="Slow"/>
    <n v="1"/>
  </r>
  <r>
    <s v="Tkt-0106"/>
    <d v="2025-12-02T18:00:00"/>
    <x v="0"/>
    <x v="0"/>
    <x v="2"/>
    <x v="0"/>
    <x v="0"/>
    <n v="5.9"/>
    <x v="29"/>
    <x v="2"/>
    <s v="No"/>
    <n v="0"/>
    <s v="Within 24h"/>
    <s v="Slow"/>
    <n v="1"/>
  </r>
  <r>
    <s v="Tkt-0107"/>
    <d v="2026-01-20T12:00:00"/>
    <x v="0"/>
    <x v="2"/>
    <x v="1"/>
    <x v="2"/>
    <x v="1"/>
    <n v="9.1"/>
    <x v="16"/>
    <x v="0"/>
    <s v="No"/>
    <n v="0"/>
    <s v="Within 24h"/>
    <s v="Slow"/>
    <n v="1"/>
  </r>
  <r>
    <s v="Tkt-0108"/>
    <d v="2025-12-05T04:00:00"/>
    <x v="0"/>
    <x v="1"/>
    <x v="0"/>
    <x v="0"/>
    <x v="0"/>
    <n v="2"/>
    <x v="79"/>
    <x v="1"/>
    <s v="Yes"/>
    <n v="1"/>
    <s v="Within 24h"/>
    <s v="Medium"/>
    <n v="1"/>
  </r>
  <r>
    <s v="Tkt-0109"/>
    <d v="2026-01-12T10:00:00"/>
    <x v="2"/>
    <x v="0"/>
    <x v="1"/>
    <x v="0"/>
    <x v="0"/>
    <n v="3.3"/>
    <x v="5"/>
    <x v="0"/>
    <s v="Yes"/>
    <n v="1"/>
    <s v="Within 24h"/>
    <s v="Medium"/>
    <n v="1"/>
  </r>
  <r>
    <s v="Tkt-0110"/>
    <d v="2025-12-24T10:00:00"/>
    <x v="0"/>
    <x v="2"/>
    <x v="0"/>
    <x v="0"/>
    <x v="0"/>
    <n v="4.8"/>
    <x v="44"/>
    <x v="1"/>
    <s v="No"/>
    <n v="0"/>
    <s v="Within 24h"/>
    <s v="Slow"/>
    <n v="1"/>
  </r>
  <r>
    <s v="Tkt-0111"/>
    <d v="2026-02-13T17:00:00"/>
    <x v="1"/>
    <x v="0"/>
    <x v="0"/>
    <x v="4"/>
    <x v="2"/>
    <n v="5.8"/>
    <x v="80"/>
    <x v="3"/>
    <s v="No"/>
    <n v="0"/>
    <s v="Within 24h"/>
    <s v="Slow"/>
    <n v="1"/>
  </r>
  <r>
    <s v="Tkt-0112"/>
    <d v="2026-01-31T22:00:00"/>
    <x v="0"/>
    <x v="0"/>
    <x v="0"/>
    <x v="0"/>
    <x v="0"/>
    <n v="3.7"/>
    <x v="81"/>
    <x v="2"/>
    <s v="Yes"/>
    <n v="1"/>
    <s v="Within 24h"/>
    <s v="Medium"/>
    <n v="1"/>
  </r>
  <r>
    <s v="Tkt-0113"/>
    <d v="2026-01-17T00:00:00"/>
    <x v="0"/>
    <x v="1"/>
    <x v="2"/>
    <x v="3"/>
    <x v="1"/>
    <n v="2"/>
    <x v="82"/>
    <x v="2"/>
    <s v="Yes"/>
    <n v="1"/>
    <s v="Within 24h"/>
    <s v="Medium"/>
    <n v="1"/>
  </r>
  <r>
    <s v="Tkt-0114"/>
    <d v="2025-12-15T07:00:00"/>
    <x v="0"/>
    <x v="1"/>
    <x v="4"/>
    <x v="4"/>
    <x v="2"/>
    <n v="6.4"/>
    <x v="83"/>
    <x v="0"/>
    <s v="No"/>
    <n v="0"/>
    <s v="Within 24h"/>
    <s v="Slow"/>
    <n v="1"/>
  </r>
  <r>
    <s v="Tkt-0115"/>
    <d v="2026-01-30T06:00:00"/>
    <x v="0"/>
    <x v="1"/>
    <x v="0"/>
    <x v="0"/>
    <x v="0"/>
    <n v="6"/>
    <x v="84"/>
    <x v="0"/>
    <s v="No"/>
    <n v="0"/>
    <s v="Within 24h"/>
    <s v="Slow"/>
    <n v="1"/>
  </r>
  <r>
    <s v="Tkt-0116"/>
    <d v="2026-02-01T00:00:00"/>
    <x v="0"/>
    <x v="0"/>
    <x v="3"/>
    <x v="0"/>
    <x v="0"/>
    <n v="1.9"/>
    <x v="5"/>
    <x v="2"/>
    <s v="Yes"/>
    <n v="1"/>
    <s v="Within 24h"/>
    <s v="Medium"/>
    <n v="1"/>
  </r>
  <r>
    <s v="Tkt-0117"/>
    <d v="2026-02-19T02:00:00"/>
    <x v="1"/>
    <x v="2"/>
    <x v="4"/>
    <x v="2"/>
    <x v="1"/>
    <n v="7.6"/>
    <x v="85"/>
    <x v="2"/>
    <s v="No"/>
    <n v="0"/>
    <s v="Within 24h"/>
    <s v="Slow"/>
    <n v="1"/>
  </r>
  <r>
    <s v="Tkt-0118"/>
    <d v="2025-12-10T23:00:00"/>
    <x v="0"/>
    <x v="0"/>
    <x v="0"/>
    <x v="4"/>
    <x v="2"/>
    <n v="7.1"/>
    <x v="86"/>
    <x v="2"/>
    <s v="No"/>
    <n v="0"/>
    <s v="Within 24h"/>
    <s v="Slow"/>
    <n v="1"/>
  </r>
  <r>
    <s v="Tkt-0119"/>
    <d v="2026-01-30T22:00:00"/>
    <x v="0"/>
    <x v="0"/>
    <x v="2"/>
    <x v="4"/>
    <x v="2"/>
    <n v="4.5"/>
    <x v="14"/>
    <x v="1"/>
    <s v="No"/>
    <n v="0"/>
    <s v="Within 24h"/>
    <s v="Slow"/>
    <n v="1"/>
  </r>
  <r>
    <s v="Tkt-0120"/>
    <d v="2026-02-24T14:00:00"/>
    <x v="0"/>
    <x v="2"/>
    <x v="2"/>
    <x v="1"/>
    <x v="0"/>
    <n v="4.4000000000000004"/>
    <x v="29"/>
    <x v="1"/>
    <s v="No"/>
    <n v="0"/>
    <s v="Within 24h"/>
    <s v="Slow"/>
    <n v="1"/>
  </r>
  <r>
    <s v="Tkt-0121"/>
    <d v="2026-02-19T08:00:00"/>
    <x v="0"/>
    <x v="2"/>
    <x v="3"/>
    <x v="4"/>
    <x v="2"/>
    <n v="5.6"/>
    <x v="26"/>
    <x v="3"/>
    <s v="No"/>
    <n v="0"/>
    <s v="Within 24h"/>
    <s v="Slow"/>
    <n v="1"/>
  </r>
  <r>
    <s v="Tkt-0122"/>
    <d v="2026-01-29T16:00:00"/>
    <x v="0"/>
    <x v="2"/>
    <x v="1"/>
    <x v="3"/>
    <x v="1"/>
    <n v="2"/>
    <x v="87"/>
    <x v="1"/>
    <s v="Yes"/>
    <n v="1"/>
    <s v="24-48h"/>
    <s v="Medium"/>
    <n v="1"/>
  </r>
  <r>
    <s v="Tkt-0123"/>
    <d v="2025-12-05T09:00:00"/>
    <x v="1"/>
    <x v="2"/>
    <x v="3"/>
    <x v="1"/>
    <x v="0"/>
    <n v="4.3"/>
    <x v="5"/>
    <x v="2"/>
    <s v="No"/>
    <n v="0"/>
    <s v="Within 24h"/>
    <s v="Slow"/>
    <n v="1"/>
  </r>
  <r>
    <s v="Tkt-0124"/>
    <d v="2026-02-01T07:00:00"/>
    <x v="0"/>
    <x v="1"/>
    <x v="1"/>
    <x v="0"/>
    <x v="0"/>
    <n v="0.1"/>
    <x v="88"/>
    <x v="1"/>
    <s v="Yes"/>
    <n v="1"/>
    <s v="Within 24h"/>
    <s v="Fast"/>
    <n v="1"/>
  </r>
  <r>
    <s v="Tkt-0125"/>
    <d v="2026-02-12T01:00:00"/>
    <x v="0"/>
    <x v="1"/>
    <x v="4"/>
    <x v="0"/>
    <x v="0"/>
    <n v="6.4"/>
    <x v="89"/>
    <x v="0"/>
    <s v="No"/>
    <n v="0"/>
    <s v="Within 24h"/>
    <s v="Slow"/>
    <n v="1"/>
  </r>
  <r>
    <s v="Tkt-0126"/>
    <d v="2025-12-17T06:00:00"/>
    <x v="0"/>
    <x v="0"/>
    <x v="4"/>
    <x v="0"/>
    <x v="0"/>
    <n v="0.3"/>
    <x v="90"/>
    <x v="2"/>
    <s v="Yes"/>
    <n v="1"/>
    <s v="Within 24h"/>
    <s v="Fast"/>
    <n v="1"/>
  </r>
  <r>
    <s v="Tkt-0127"/>
    <d v="2025-12-30T17:00:00"/>
    <x v="0"/>
    <x v="0"/>
    <x v="0"/>
    <x v="3"/>
    <x v="1"/>
    <n v="8"/>
    <x v="91"/>
    <x v="1"/>
    <s v="No"/>
    <n v="0"/>
    <s v="Within 24h"/>
    <s v="Slow"/>
    <n v="1"/>
  </r>
  <r>
    <s v="Tkt-0128"/>
    <d v="2025-12-30T11:00:00"/>
    <x v="2"/>
    <x v="0"/>
    <x v="2"/>
    <x v="0"/>
    <x v="0"/>
    <n v="3.4"/>
    <x v="92"/>
    <x v="2"/>
    <s v="Yes"/>
    <n v="1"/>
    <s v="Within 24h"/>
    <s v="Medium"/>
    <n v="1"/>
  </r>
  <r>
    <s v="Tkt-0129"/>
    <d v="2026-02-04T21:00:00"/>
    <x v="0"/>
    <x v="0"/>
    <x v="3"/>
    <x v="0"/>
    <x v="0"/>
    <n v="3.7"/>
    <x v="93"/>
    <x v="0"/>
    <s v="Yes"/>
    <n v="1"/>
    <s v="Within 24h"/>
    <s v="Medium"/>
    <n v="1"/>
  </r>
  <r>
    <s v="Tkt-0130"/>
    <d v="2026-02-16T03:00:00"/>
    <x v="0"/>
    <x v="1"/>
    <x v="0"/>
    <x v="0"/>
    <x v="0"/>
    <n v="2.6"/>
    <x v="94"/>
    <x v="0"/>
    <s v="Yes"/>
    <n v="1"/>
    <s v="24-48h"/>
    <s v="Medium"/>
    <n v="1"/>
  </r>
  <r>
    <s v="Tkt-0131"/>
    <d v="2026-01-04T13:00:00"/>
    <x v="0"/>
    <x v="1"/>
    <x v="0"/>
    <x v="0"/>
    <x v="0"/>
    <n v="3.5"/>
    <x v="95"/>
    <x v="1"/>
    <s v="Yes"/>
    <n v="1"/>
    <s v="Within 24h"/>
    <s v="Medium"/>
    <n v="1"/>
  </r>
  <r>
    <s v="Tkt-0132"/>
    <d v="2026-01-05T11:00:00"/>
    <x v="1"/>
    <x v="0"/>
    <x v="4"/>
    <x v="0"/>
    <x v="0"/>
    <n v="7.7"/>
    <x v="96"/>
    <x v="2"/>
    <s v="No"/>
    <n v="0"/>
    <s v="Within 24h"/>
    <s v="Slow"/>
    <n v="1"/>
  </r>
  <r>
    <s v="Tkt-0133"/>
    <d v="2025-12-31T01:00:00"/>
    <x v="0"/>
    <x v="0"/>
    <x v="3"/>
    <x v="1"/>
    <x v="0"/>
    <n v="0.1"/>
    <x v="97"/>
    <x v="3"/>
    <s v="Yes"/>
    <n v="1"/>
    <s v="Within 24h"/>
    <s v="Fast"/>
    <n v="1"/>
  </r>
  <r>
    <s v="Tkt-0134"/>
    <d v="2026-02-22T03:00:00"/>
    <x v="0"/>
    <x v="1"/>
    <x v="4"/>
    <x v="4"/>
    <x v="2"/>
    <n v="7.4"/>
    <x v="5"/>
    <x v="0"/>
    <s v="No"/>
    <n v="0"/>
    <s v="Within 24h"/>
    <s v="Slow"/>
    <n v="1"/>
  </r>
  <r>
    <s v="Tkt-0135"/>
    <d v="2025-12-07T04:00:00"/>
    <x v="0"/>
    <x v="0"/>
    <x v="2"/>
    <x v="0"/>
    <x v="0"/>
    <n v="5"/>
    <x v="98"/>
    <x v="3"/>
    <s v="No"/>
    <n v="0"/>
    <s v="Within 24h"/>
    <s v="Slow"/>
    <n v="1"/>
  </r>
  <r>
    <s v="Tkt-0136"/>
    <d v="2026-02-16T23:00:00"/>
    <x v="0"/>
    <x v="2"/>
    <x v="0"/>
    <x v="0"/>
    <x v="0"/>
    <n v="1.2"/>
    <x v="99"/>
    <x v="1"/>
    <s v="Yes"/>
    <n v="1"/>
    <s v="Within 24h"/>
    <s v="Medium"/>
    <n v="1"/>
  </r>
  <r>
    <s v="Tkt-0137"/>
    <d v="2026-01-08T01:00:00"/>
    <x v="0"/>
    <x v="1"/>
    <x v="4"/>
    <x v="0"/>
    <x v="0"/>
    <n v="1.5"/>
    <x v="5"/>
    <x v="0"/>
    <s v="Yes"/>
    <n v="1"/>
    <s v="Within 24h"/>
    <s v="Medium"/>
    <n v="1"/>
  </r>
  <r>
    <s v="Tkt-0138"/>
    <d v="2026-01-16T21:00:00"/>
    <x v="0"/>
    <x v="1"/>
    <x v="0"/>
    <x v="1"/>
    <x v="0"/>
    <n v="8.4"/>
    <x v="100"/>
    <x v="3"/>
    <s v="No"/>
    <n v="0"/>
    <s v="Within 24h"/>
    <s v="Slow"/>
    <n v="1"/>
  </r>
  <r>
    <s v="Tkt-0139"/>
    <d v="2026-01-28T18:00:00"/>
    <x v="0"/>
    <x v="1"/>
    <x v="2"/>
    <x v="3"/>
    <x v="1"/>
    <n v="1.8"/>
    <x v="101"/>
    <x v="0"/>
    <s v="Yes"/>
    <n v="1"/>
    <s v="Within 24h"/>
    <s v="Medium"/>
    <n v="1"/>
  </r>
  <r>
    <s v="Tkt-0140"/>
    <d v="2026-02-04T07:00:00"/>
    <x v="0"/>
    <x v="2"/>
    <x v="2"/>
    <x v="1"/>
    <x v="0"/>
    <n v="1.3"/>
    <x v="38"/>
    <x v="3"/>
    <s v="Yes"/>
    <n v="1"/>
    <s v="Within 24h"/>
    <s v="Medium"/>
    <n v="1"/>
  </r>
  <r>
    <s v="Tkt-0141"/>
    <d v="2026-01-02T20:00:00"/>
    <x v="0"/>
    <x v="0"/>
    <x v="3"/>
    <x v="0"/>
    <x v="0"/>
    <n v="7"/>
    <x v="102"/>
    <x v="2"/>
    <s v="No"/>
    <n v="0"/>
    <s v="Within 24h"/>
    <s v="Slow"/>
    <n v="1"/>
  </r>
  <r>
    <s v="Tkt-0142"/>
    <d v="2026-01-05T19:00:00"/>
    <x v="0"/>
    <x v="1"/>
    <x v="4"/>
    <x v="0"/>
    <x v="0"/>
    <n v="5"/>
    <x v="97"/>
    <x v="2"/>
    <s v="No"/>
    <n v="0"/>
    <s v="Within 24h"/>
    <s v="Slow"/>
    <n v="1"/>
  </r>
  <r>
    <s v="Tkt-0143"/>
    <d v="2026-01-24T10:00:00"/>
    <x v="0"/>
    <x v="1"/>
    <x v="3"/>
    <x v="1"/>
    <x v="0"/>
    <n v="1.9"/>
    <x v="83"/>
    <x v="1"/>
    <s v="Yes"/>
    <n v="1"/>
    <s v="Within 24h"/>
    <s v="Medium"/>
    <n v="1"/>
  </r>
  <r>
    <s v="Tkt-0144"/>
    <d v="2026-01-28T22:00:00"/>
    <x v="0"/>
    <x v="0"/>
    <x v="3"/>
    <x v="1"/>
    <x v="0"/>
    <n v="4.7"/>
    <x v="39"/>
    <x v="0"/>
    <s v="No"/>
    <n v="0"/>
    <s v="Within 24h"/>
    <s v="Slow"/>
    <n v="1"/>
  </r>
  <r>
    <s v="Tkt-0145"/>
    <d v="2026-01-03T07:00:00"/>
    <x v="2"/>
    <x v="2"/>
    <x v="2"/>
    <x v="1"/>
    <x v="0"/>
    <n v="1.6"/>
    <x v="65"/>
    <x v="3"/>
    <s v="Yes"/>
    <n v="1"/>
    <s v="Within 24h"/>
    <s v="Medium"/>
    <n v="1"/>
  </r>
  <r>
    <s v="Tkt-0146"/>
    <d v="2026-02-16T23:00:00"/>
    <x v="0"/>
    <x v="2"/>
    <x v="3"/>
    <x v="0"/>
    <x v="0"/>
    <n v="7"/>
    <x v="103"/>
    <x v="1"/>
    <s v="No"/>
    <n v="0"/>
    <s v="Within 24h"/>
    <s v="Slow"/>
    <n v="1"/>
  </r>
  <r>
    <s v="Tkt-0147"/>
    <d v="2025-12-07T07:00:00"/>
    <x v="0"/>
    <x v="1"/>
    <x v="3"/>
    <x v="0"/>
    <x v="0"/>
    <n v="6.9"/>
    <x v="5"/>
    <x v="2"/>
    <s v="No"/>
    <n v="0"/>
    <s v="Within 24h"/>
    <s v="Slow"/>
    <n v="1"/>
  </r>
  <r>
    <s v="Tkt-0148"/>
    <d v="2026-02-27T22:00:00"/>
    <x v="2"/>
    <x v="2"/>
    <x v="3"/>
    <x v="0"/>
    <x v="0"/>
    <n v="5.5"/>
    <x v="41"/>
    <x v="2"/>
    <s v="No"/>
    <n v="0"/>
    <s v="Within 24h"/>
    <s v="Slow"/>
    <n v="1"/>
  </r>
  <r>
    <s v="Tkt-0149"/>
    <d v="2026-01-29T19:00:00"/>
    <x v="0"/>
    <x v="2"/>
    <x v="2"/>
    <x v="1"/>
    <x v="0"/>
    <n v="5.0999999999999996"/>
    <x v="104"/>
    <x v="1"/>
    <s v="No"/>
    <n v="0"/>
    <s v="Within 24h"/>
    <s v="Slow"/>
    <n v="1"/>
  </r>
  <r>
    <s v="Tkt-0150"/>
    <d v="2026-01-07T09:00:00"/>
    <x v="0"/>
    <x v="1"/>
    <x v="3"/>
    <x v="0"/>
    <x v="0"/>
    <n v="8.6"/>
    <x v="105"/>
    <x v="0"/>
    <s v="No"/>
    <n v="0"/>
    <s v="Within 24h"/>
    <s v="Slow"/>
    <n v="1"/>
  </r>
  <r>
    <s v="Tkt-0151"/>
    <d v="2025-12-29T18:00:00"/>
    <x v="0"/>
    <x v="2"/>
    <x v="0"/>
    <x v="4"/>
    <x v="2"/>
    <n v="4.2"/>
    <x v="92"/>
    <x v="3"/>
    <s v="No"/>
    <n v="0"/>
    <s v="Within 24h"/>
    <s v="Slow"/>
    <n v="1"/>
  </r>
  <r>
    <s v="Tkt-0152"/>
    <d v="2026-01-08T23:00:00"/>
    <x v="1"/>
    <x v="1"/>
    <x v="4"/>
    <x v="0"/>
    <x v="0"/>
    <n v="1.2"/>
    <x v="46"/>
    <x v="2"/>
    <s v="Yes"/>
    <n v="1"/>
    <s v="Within 24h"/>
    <s v="Medium"/>
    <n v="1"/>
  </r>
  <r>
    <s v="Tkt-0153"/>
    <d v="2026-02-07T12:00:00"/>
    <x v="0"/>
    <x v="1"/>
    <x v="2"/>
    <x v="1"/>
    <x v="0"/>
    <n v="5.3"/>
    <x v="5"/>
    <x v="1"/>
    <s v="No"/>
    <n v="0"/>
    <s v="Within 24h"/>
    <s v="Slow"/>
    <n v="1"/>
  </r>
  <r>
    <s v="Tkt-0154"/>
    <d v="2026-02-28T12:00:00"/>
    <x v="0"/>
    <x v="1"/>
    <x v="0"/>
    <x v="1"/>
    <x v="0"/>
    <n v="9.4"/>
    <x v="42"/>
    <x v="2"/>
    <s v="No"/>
    <n v="0"/>
    <s v="Within 24h"/>
    <s v="Slow"/>
    <n v="1"/>
  </r>
  <r>
    <s v="Tkt-0155"/>
    <d v="2026-01-26T10:00:00"/>
    <x v="0"/>
    <x v="2"/>
    <x v="0"/>
    <x v="0"/>
    <x v="0"/>
    <n v="1.7"/>
    <x v="106"/>
    <x v="2"/>
    <s v="Yes"/>
    <n v="1"/>
    <s v="Within 24h"/>
    <s v="Medium"/>
    <n v="1"/>
  </r>
  <r>
    <s v="Tkt-0156"/>
    <d v="2026-01-23T11:00:00"/>
    <x v="0"/>
    <x v="0"/>
    <x v="0"/>
    <x v="0"/>
    <x v="0"/>
    <n v="3.3"/>
    <x v="28"/>
    <x v="3"/>
    <s v="Yes"/>
    <n v="1"/>
    <s v="Within 24h"/>
    <s v="Medium"/>
    <n v="1"/>
  </r>
  <r>
    <s v="Tkt-0157"/>
    <d v="2025-12-01T01:00:00"/>
    <x v="0"/>
    <x v="2"/>
    <x v="3"/>
    <x v="3"/>
    <x v="1"/>
    <n v="5.2"/>
    <x v="76"/>
    <x v="0"/>
    <s v="No"/>
    <n v="0"/>
    <s v="Within 24h"/>
    <s v="Slow"/>
    <n v="1"/>
  </r>
  <r>
    <s v="Tkt-0158"/>
    <d v="2025-12-19T03:00:00"/>
    <x v="0"/>
    <x v="2"/>
    <x v="3"/>
    <x v="0"/>
    <x v="0"/>
    <n v="4.0999999999999996"/>
    <x v="44"/>
    <x v="0"/>
    <s v="No"/>
    <n v="0"/>
    <s v="Within 24h"/>
    <s v="Slow"/>
    <n v="1"/>
  </r>
  <r>
    <s v="Tkt-0159"/>
    <d v="2025-12-28T20:00:00"/>
    <x v="0"/>
    <x v="0"/>
    <x v="4"/>
    <x v="1"/>
    <x v="0"/>
    <n v="1.7"/>
    <x v="107"/>
    <x v="3"/>
    <s v="Yes"/>
    <n v="1"/>
    <s v="Within 24h"/>
    <s v="Medium"/>
    <n v="1"/>
  </r>
  <r>
    <s v="Tkt-0160"/>
    <d v="2026-02-04T15:00:00"/>
    <x v="0"/>
    <x v="2"/>
    <x v="4"/>
    <x v="1"/>
    <x v="0"/>
    <n v="7"/>
    <x v="108"/>
    <x v="1"/>
    <s v="No"/>
    <n v="0"/>
    <s v="Within 24h"/>
    <s v="Slow"/>
    <n v="1"/>
  </r>
  <r>
    <s v="Tkt-0161"/>
    <d v="2026-02-01T23:00:00"/>
    <x v="0"/>
    <x v="0"/>
    <x v="4"/>
    <x v="2"/>
    <x v="1"/>
    <n v="10"/>
    <x v="20"/>
    <x v="1"/>
    <s v="No"/>
    <n v="0"/>
    <s v="Within 24h"/>
    <s v="Slow"/>
    <n v="1"/>
  </r>
  <r>
    <s v="Tkt-0162"/>
    <d v="2025-12-16T01:00:00"/>
    <x v="0"/>
    <x v="0"/>
    <x v="3"/>
    <x v="1"/>
    <x v="0"/>
    <n v="4.7"/>
    <x v="109"/>
    <x v="0"/>
    <s v="No"/>
    <n v="0"/>
    <s v="Within 24h"/>
    <s v="Slow"/>
    <n v="1"/>
  </r>
  <r>
    <s v="Tkt-0163"/>
    <d v="2025-12-21T23:00:00"/>
    <x v="0"/>
    <x v="1"/>
    <x v="2"/>
    <x v="1"/>
    <x v="0"/>
    <n v="1.9"/>
    <x v="110"/>
    <x v="2"/>
    <s v="Yes"/>
    <n v="1"/>
    <s v="Within 24h"/>
    <s v="Medium"/>
    <n v="1"/>
  </r>
  <r>
    <s v="Tkt-0164"/>
    <d v="2026-01-19T23:00:00"/>
    <x v="1"/>
    <x v="0"/>
    <x v="3"/>
    <x v="3"/>
    <x v="1"/>
    <n v="0.3"/>
    <x v="111"/>
    <x v="2"/>
    <s v="Yes"/>
    <n v="1"/>
    <s v="Within 24h"/>
    <s v="Fast"/>
    <n v="1"/>
  </r>
  <r>
    <s v="Tkt-0165"/>
    <d v="2026-02-22T06:00:00"/>
    <x v="0"/>
    <x v="2"/>
    <x v="1"/>
    <x v="1"/>
    <x v="0"/>
    <n v="4.8"/>
    <x v="84"/>
    <x v="1"/>
    <s v="No"/>
    <n v="0"/>
    <s v="Within 24h"/>
    <s v="Slow"/>
    <n v="1"/>
  </r>
  <r>
    <s v="Tkt-0166"/>
    <d v="2025-12-29T08:00:00"/>
    <x v="0"/>
    <x v="2"/>
    <x v="4"/>
    <x v="0"/>
    <x v="0"/>
    <n v="7"/>
    <x v="112"/>
    <x v="3"/>
    <s v="No"/>
    <n v="0"/>
    <s v="Within 24h"/>
    <s v="Slow"/>
    <n v="1"/>
  </r>
  <r>
    <s v="Tkt-0167"/>
    <d v="2025-12-23T19:00:00"/>
    <x v="1"/>
    <x v="1"/>
    <x v="0"/>
    <x v="3"/>
    <x v="1"/>
    <n v="5.4"/>
    <x v="71"/>
    <x v="2"/>
    <s v="No"/>
    <n v="0"/>
    <s v="Within 24h"/>
    <s v="Slow"/>
    <n v="1"/>
  </r>
  <r>
    <s v="Tkt-0168"/>
    <d v="2026-02-21T08:00:00"/>
    <x v="2"/>
    <x v="0"/>
    <x v="4"/>
    <x v="0"/>
    <x v="0"/>
    <n v="4.2"/>
    <x v="86"/>
    <x v="1"/>
    <s v="No"/>
    <n v="0"/>
    <s v="Within 24h"/>
    <s v="Slow"/>
    <n v="1"/>
  </r>
  <r>
    <s v="Tkt-0169"/>
    <d v="2026-02-18T19:00:00"/>
    <x v="0"/>
    <x v="0"/>
    <x v="3"/>
    <x v="1"/>
    <x v="0"/>
    <n v="2.7"/>
    <x v="113"/>
    <x v="3"/>
    <s v="Yes"/>
    <n v="1"/>
    <s v="Within 24h"/>
    <s v="Medium"/>
    <n v="1"/>
  </r>
  <r>
    <s v="Tkt-0170"/>
    <d v="2026-02-20T05:00:00"/>
    <x v="0"/>
    <x v="1"/>
    <x v="4"/>
    <x v="0"/>
    <x v="0"/>
    <n v="1.5"/>
    <x v="114"/>
    <x v="0"/>
    <s v="Yes"/>
    <n v="1"/>
    <s v="24-48h"/>
    <s v="Medium"/>
    <n v="1"/>
  </r>
  <r>
    <s v="Tkt-0171"/>
    <d v="2026-02-20T03:00:00"/>
    <x v="2"/>
    <x v="2"/>
    <x v="0"/>
    <x v="1"/>
    <x v="0"/>
    <n v="6.3"/>
    <x v="115"/>
    <x v="3"/>
    <s v="No"/>
    <n v="0"/>
    <s v="Within 24h"/>
    <s v="Slow"/>
    <n v="1"/>
  </r>
  <r>
    <s v="Tkt-0172"/>
    <d v="2026-01-29T12:00:00"/>
    <x v="0"/>
    <x v="1"/>
    <x v="0"/>
    <x v="4"/>
    <x v="2"/>
    <n v="6.5"/>
    <x v="116"/>
    <x v="0"/>
    <s v="No"/>
    <n v="0"/>
    <s v="Within 24h"/>
    <s v="Slow"/>
    <n v="1"/>
  </r>
  <r>
    <s v="Tkt-0173"/>
    <d v="2026-02-13T06:00:00"/>
    <x v="0"/>
    <x v="0"/>
    <x v="2"/>
    <x v="4"/>
    <x v="2"/>
    <n v="0.3"/>
    <x v="117"/>
    <x v="1"/>
    <s v="Yes"/>
    <n v="1"/>
    <s v="Within 24h"/>
    <s v="Fast"/>
    <n v="1"/>
  </r>
  <r>
    <s v="Tkt-0174"/>
    <d v="2026-01-28T06:00:00"/>
    <x v="0"/>
    <x v="1"/>
    <x v="0"/>
    <x v="3"/>
    <x v="1"/>
    <n v="8.1999999999999993"/>
    <x v="118"/>
    <x v="3"/>
    <s v="No"/>
    <n v="0"/>
    <s v="Within 24h"/>
    <s v="Slow"/>
    <n v="1"/>
  </r>
  <r>
    <s v="Tkt-0175"/>
    <d v="2025-12-14T23:00:00"/>
    <x v="1"/>
    <x v="1"/>
    <x v="2"/>
    <x v="4"/>
    <x v="2"/>
    <n v="5.6"/>
    <x v="91"/>
    <x v="1"/>
    <s v="No"/>
    <n v="0"/>
    <s v="Within 24h"/>
    <s v="Slow"/>
    <n v="1"/>
  </r>
  <r>
    <s v="Tkt-0176"/>
    <d v="2025-12-11T22:00:00"/>
    <x v="0"/>
    <x v="2"/>
    <x v="0"/>
    <x v="0"/>
    <x v="0"/>
    <n v="7.7"/>
    <x v="3"/>
    <x v="0"/>
    <s v="No"/>
    <n v="0"/>
    <s v="Within 24h"/>
    <s v="Slow"/>
    <n v="1"/>
  </r>
  <r>
    <s v="Tkt-0177"/>
    <d v="2026-01-06T03:00:00"/>
    <x v="0"/>
    <x v="0"/>
    <x v="4"/>
    <x v="0"/>
    <x v="0"/>
    <n v="0.8"/>
    <x v="0"/>
    <x v="2"/>
    <s v="Yes"/>
    <n v="1"/>
    <s v="Within 24h"/>
    <s v="Fast"/>
    <n v="1"/>
  </r>
  <r>
    <s v="Tkt-0178"/>
    <d v="2025-12-16T06:00:00"/>
    <x v="0"/>
    <x v="2"/>
    <x v="4"/>
    <x v="0"/>
    <x v="0"/>
    <n v="0.8"/>
    <x v="5"/>
    <x v="2"/>
    <s v="Yes"/>
    <n v="1"/>
    <s v="Within 24h"/>
    <s v="Fast"/>
    <n v="1"/>
  </r>
  <r>
    <s v="Tkt-0179"/>
    <d v="2025-12-24T14:00:00"/>
    <x v="1"/>
    <x v="1"/>
    <x v="3"/>
    <x v="0"/>
    <x v="0"/>
    <n v="3.8"/>
    <x v="42"/>
    <x v="0"/>
    <s v="Yes"/>
    <n v="1"/>
    <s v="Within 24h"/>
    <s v="Medium"/>
    <n v="1"/>
  </r>
  <r>
    <s v="Tkt-0180"/>
    <d v="2026-01-26T18:00:00"/>
    <x v="0"/>
    <x v="2"/>
    <x v="3"/>
    <x v="3"/>
    <x v="1"/>
    <n v="5.5"/>
    <x v="5"/>
    <x v="2"/>
    <s v="No"/>
    <n v="0"/>
    <s v="Within 24h"/>
    <s v="Slow"/>
    <n v="1"/>
  </r>
  <r>
    <s v="Tkt-0181"/>
    <d v="2025-12-05T02:00:00"/>
    <x v="1"/>
    <x v="0"/>
    <x v="0"/>
    <x v="1"/>
    <x v="0"/>
    <n v="8.6999999999999993"/>
    <x v="119"/>
    <x v="2"/>
    <s v="No"/>
    <n v="0"/>
    <s v="Within 24h"/>
    <s v="Slow"/>
    <n v="1"/>
  </r>
  <r>
    <s v="Tkt-0182"/>
    <d v="2026-01-19T17:00:00"/>
    <x v="0"/>
    <x v="1"/>
    <x v="0"/>
    <x v="1"/>
    <x v="0"/>
    <n v="6"/>
    <x v="120"/>
    <x v="3"/>
    <s v="No"/>
    <n v="0"/>
    <s v="Within 24h"/>
    <s v="Slow"/>
    <n v="1"/>
  </r>
  <r>
    <s v="Tkt-0183"/>
    <d v="2026-01-26T12:00:00"/>
    <x v="0"/>
    <x v="2"/>
    <x v="3"/>
    <x v="4"/>
    <x v="2"/>
    <n v="3.6"/>
    <x v="93"/>
    <x v="3"/>
    <s v="Yes"/>
    <n v="1"/>
    <s v="Within 24h"/>
    <s v="Medium"/>
    <n v="1"/>
  </r>
  <r>
    <s v="Tkt-0184"/>
    <d v="2026-02-12T03:00:00"/>
    <x v="0"/>
    <x v="0"/>
    <x v="4"/>
    <x v="1"/>
    <x v="0"/>
    <n v="1.6"/>
    <x v="121"/>
    <x v="2"/>
    <s v="Yes"/>
    <n v="1"/>
    <s v="24-48h"/>
    <s v="Medium"/>
    <n v="1"/>
  </r>
  <r>
    <s v="Tkt-0185"/>
    <d v="2025-12-08T15:00:00"/>
    <x v="0"/>
    <x v="2"/>
    <x v="1"/>
    <x v="1"/>
    <x v="0"/>
    <n v="7.3"/>
    <x v="122"/>
    <x v="3"/>
    <s v="No"/>
    <n v="0"/>
    <s v="Within 24h"/>
    <s v="Slow"/>
    <n v="1"/>
  </r>
  <r>
    <s v="Tkt-0186"/>
    <d v="2026-01-01T14:00:00"/>
    <x v="0"/>
    <x v="1"/>
    <x v="2"/>
    <x v="1"/>
    <x v="0"/>
    <n v="1.8"/>
    <x v="0"/>
    <x v="0"/>
    <s v="Yes"/>
    <n v="1"/>
    <s v="Within 24h"/>
    <s v="Medium"/>
    <n v="1"/>
  </r>
  <r>
    <s v="Tkt-0187"/>
    <d v="2026-02-20T00:00:00"/>
    <x v="0"/>
    <x v="0"/>
    <x v="2"/>
    <x v="1"/>
    <x v="0"/>
    <n v="8.3000000000000007"/>
    <x v="66"/>
    <x v="3"/>
    <s v="No"/>
    <n v="0"/>
    <s v="Within 24h"/>
    <s v="Slow"/>
    <n v="1"/>
  </r>
  <r>
    <s v="Tkt-0188"/>
    <d v="2026-01-01T05:00:00"/>
    <x v="0"/>
    <x v="0"/>
    <x v="2"/>
    <x v="0"/>
    <x v="0"/>
    <n v="3.5"/>
    <x v="123"/>
    <x v="3"/>
    <s v="Yes"/>
    <n v="1"/>
    <s v="Within 24h"/>
    <s v="Medium"/>
    <n v="1"/>
  </r>
  <r>
    <s v="Tkt-0189"/>
    <d v="2025-12-18T21:00:00"/>
    <x v="0"/>
    <x v="1"/>
    <x v="4"/>
    <x v="0"/>
    <x v="0"/>
    <n v="8.1999999999999993"/>
    <x v="5"/>
    <x v="3"/>
    <s v="No"/>
    <n v="0"/>
    <s v="Within 24h"/>
    <s v="Slow"/>
    <n v="1"/>
  </r>
  <r>
    <s v="Tkt-0190"/>
    <d v="2026-02-19T07:00:00"/>
    <x v="1"/>
    <x v="0"/>
    <x v="0"/>
    <x v="1"/>
    <x v="0"/>
    <n v="5.9"/>
    <x v="124"/>
    <x v="1"/>
    <s v="No"/>
    <n v="0"/>
    <s v="Within 24h"/>
    <s v="Slow"/>
    <n v="1"/>
  </r>
  <r>
    <s v="Tkt-0191"/>
    <d v="2026-02-01T08:00:00"/>
    <x v="0"/>
    <x v="1"/>
    <x v="1"/>
    <x v="0"/>
    <x v="0"/>
    <n v="3.9"/>
    <x v="125"/>
    <x v="0"/>
    <s v="Yes"/>
    <n v="1"/>
    <s v="Within 24h"/>
    <s v="Medium"/>
    <n v="1"/>
  </r>
  <r>
    <s v="Tkt-0192"/>
    <d v="2026-01-26T20:00:00"/>
    <x v="0"/>
    <x v="0"/>
    <x v="4"/>
    <x v="0"/>
    <x v="0"/>
    <n v="2.9"/>
    <x v="5"/>
    <x v="2"/>
    <s v="Yes"/>
    <n v="1"/>
    <s v="Within 24h"/>
    <s v="Medium"/>
    <n v="1"/>
  </r>
  <r>
    <s v="Tkt-0193"/>
    <d v="2026-01-15T22:00:00"/>
    <x v="0"/>
    <x v="1"/>
    <x v="4"/>
    <x v="1"/>
    <x v="0"/>
    <n v="3.3"/>
    <x v="46"/>
    <x v="2"/>
    <s v="Yes"/>
    <n v="1"/>
    <s v="Within 24h"/>
    <s v="Medium"/>
    <n v="1"/>
  </r>
  <r>
    <s v="Tkt-0194"/>
    <d v="2026-01-28T13:00:00"/>
    <x v="0"/>
    <x v="0"/>
    <x v="0"/>
    <x v="1"/>
    <x v="0"/>
    <n v="5.3"/>
    <x v="9"/>
    <x v="1"/>
    <s v="No"/>
    <n v="0"/>
    <s v="Within 24h"/>
    <s v="Slow"/>
    <n v="1"/>
  </r>
  <r>
    <s v="Tkt-0195"/>
    <d v="2026-01-23T19:00:00"/>
    <x v="0"/>
    <x v="2"/>
    <x v="3"/>
    <x v="1"/>
    <x v="0"/>
    <n v="4.4000000000000004"/>
    <x v="5"/>
    <x v="3"/>
    <s v="No"/>
    <n v="0"/>
    <s v="Within 24h"/>
    <s v="Slow"/>
    <n v="1"/>
  </r>
  <r>
    <s v="Tkt-0196"/>
    <d v="2026-01-03T07:00:00"/>
    <x v="0"/>
    <x v="2"/>
    <x v="3"/>
    <x v="0"/>
    <x v="0"/>
    <n v="2.7"/>
    <x v="30"/>
    <x v="0"/>
    <s v="Yes"/>
    <n v="1"/>
    <s v="Within 24h"/>
    <s v="Medium"/>
    <n v="1"/>
  </r>
  <r>
    <s v="Tkt-0197"/>
    <d v="2026-01-21T05:00:00"/>
    <x v="0"/>
    <x v="2"/>
    <x v="2"/>
    <x v="0"/>
    <x v="0"/>
    <n v="3.8"/>
    <x v="126"/>
    <x v="0"/>
    <s v="Yes"/>
    <n v="1"/>
    <s v="Within 24h"/>
    <s v="Medium"/>
    <n v="1"/>
  </r>
  <r>
    <s v="Tkt-0198"/>
    <d v="2025-12-07T08:00:00"/>
    <x v="0"/>
    <x v="1"/>
    <x v="3"/>
    <x v="3"/>
    <x v="1"/>
    <n v="4.4000000000000004"/>
    <x v="127"/>
    <x v="2"/>
    <s v="No"/>
    <n v="0"/>
    <s v="Within 24h"/>
    <s v="Slow"/>
    <n v="1"/>
  </r>
  <r>
    <s v="Tkt-0199"/>
    <d v="2026-02-27T03:00:00"/>
    <x v="0"/>
    <x v="0"/>
    <x v="3"/>
    <x v="1"/>
    <x v="0"/>
    <n v="0.1"/>
    <x v="128"/>
    <x v="1"/>
    <s v="Yes"/>
    <n v="1"/>
    <s v="Within 24h"/>
    <s v="Fast"/>
    <n v="1"/>
  </r>
  <r>
    <s v="Tkt-0200"/>
    <d v="2025-12-20T15:00:00"/>
    <x v="0"/>
    <x v="2"/>
    <x v="1"/>
    <x v="0"/>
    <x v="0"/>
    <n v="5.3"/>
    <x v="129"/>
    <x v="1"/>
    <s v="No"/>
    <n v="0"/>
    <s v="Within 24h"/>
    <s v="Slow"/>
    <n v="1"/>
  </r>
  <r>
    <s v="Tkt-0201"/>
    <d v="2025-12-06T21:00:00"/>
    <x v="1"/>
    <x v="0"/>
    <x v="0"/>
    <x v="1"/>
    <x v="0"/>
    <n v="1.8"/>
    <x v="130"/>
    <x v="1"/>
    <s v="Yes"/>
    <n v="1"/>
    <s v="Within 24h"/>
    <s v="Medium"/>
    <n v="1"/>
  </r>
  <r>
    <s v="Tkt-0202"/>
    <d v="2026-02-11T16:00:00"/>
    <x v="1"/>
    <x v="0"/>
    <x v="3"/>
    <x v="4"/>
    <x v="2"/>
    <n v="1.3"/>
    <x v="18"/>
    <x v="1"/>
    <s v="Yes"/>
    <n v="1"/>
    <s v="Within 24h"/>
    <s v="Medium"/>
    <n v="1"/>
  </r>
  <r>
    <s v="Tkt-0203"/>
    <d v="2026-02-14T21:00:00"/>
    <x v="0"/>
    <x v="0"/>
    <x v="0"/>
    <x v="0"/>
    <x v="0"/>
    <n v="0.1"/>
    <x v="131"/>
    <x v="0"/>
    <s v="Yes"/>
    <n v="1"/>
    <s v="Within 24h"/>
    <s v="Fast"/>
    <n v="1"/>
  </r>
  <r>
    <s v="Tkt-0204"/>
    <d v="2025-12-20T20:00:00"/>
    <x v="0"/>
    <x v="1"/>
    <x v="4"/>
    <x v="0"/>
    <x v="0"/>
    <n v="0.1"/>
    <x v="21"/>
    <x v="3"/>
    <s v="Yes"/>
    <n v="1"/>
    <s v="Within 24h"/>
    <s v="Fast"/>
    <n v="1"/>
  </r>
  <r>
    <s v="Tkt-0205"/>
    <d v="2026-01-25T15:00:00"/>
    <x v="2"/>
    <x v="2"/>
    <x v="1"/>
    <x v="0"/>
    <x v="0"/>
    <n v="0.8"/>
    <x v="132"/>
    <x v="2"/>
    <s v="Yes"/>
    <n v="1"/>
    <s v="Within 24h"/>
    <s v="Fast"/>
    <n v="1"/>
  </r>
  <r>
    <s v="Tkt-0206"/>
    <d v="2025-12-13T18:00:00"/>
    <x v="1"/>
    <x v="1"/>
    <x v="0"/>
    <x v="0"/>
    <x v="0"/>
    <n v="2.4"/>
    <x v="86"/>
    <x v="0"/>
    <s v="Yes"/>
    <n v="1"/>
    <s v="Within 24h"/>
    <s v="Medium"/>
    <n v="1"/>
  </r>
  <r>
    <s v="Tkt-0207"/>
    <d v="2026-01-16T18:00:00"/>
    <x v="0"/>
    <x v="1"/>
    <x v="2"/>
    <x v="0"/>
    <x v="0"/>
    <n v="9.1"/>
    <x v="133"/>
    <x v="1"/>
    <s v="No"/>
    <n v="0"/>
    <s v="24-48h"/>
    <s v="Slow"/>
    <n v="1"/>
  </r>
  <r>
    <s v="Tkt-0208"/>
    <d v="2025-12-03T04:00:00"/>
    <x v="2"/>
    <x v="0"/>
    <x v="0"/>
    <x v="1"/>
    <x v="0"/>
    <n v="2.9"/>
    <x v="82"/>
    <x v="1"/>
    <s v="Yes"/>
    <n v="1"/>
    <s v="Within 24h"/>
    <s v="Medium"/>
    <n v="1"/>
  </r>
  <r>
    <s v="Tkt-0209"/>
    <d v="2026-01-26T08:00:00"/>
    <x v="1"/>
    <x v="2"/>
    <x v="1"/>
    <x v="0"/>
    <x v="0"/>
    <n v="4.5999999999999996"/>
    <x v="134"/>
    <x v="2"/>
    <s v="No"/>
    <n v="0"/>
    <s v="Within 24h"/>
    <s v="Slow"/>
    <n v="1"/>
  </r>
  <r>
    <s v="Tkt-0210"/>
    <d v="2025-12-28T16:00:00"/>
    <x v="0"/>
    <x v="1"/>
    <x v="2"/>
    <x v="4"/>
    <x v="2"/>
    <n v="5.2"/>
    <x v="135"/>
    <x v="3"/>
    <s v="No"/>
    <n v="0"/>
    <s v="Within 24h"/>
    <s v="Slow"/>
    <n v="1"/>
  </r>
  <r>
    <s v="Tkt-0211"/>
    <d v="2026-02-22T22:00:00"/>
    <x v="0"/>
    <x v="1"/>
    <x v="2"/>
    <x v="0"/>
    <x v="0"/>
    <n v="4.5"/>
    <x v="127"/>
    <x v="3"/>
    <s v="No"/>
    <n v="0"/>
    <s v="Within 24h"/>
    <s v="Slow"/>
    <n v="1"/>
  </r>
  <r>
    <s v="Tkt-0212"/>
    <d v="2025-12-09T11:00:00"/>
    <x v="0"/>
    <x v="0"/>
    <x v="0"/>
    <x v="4"/>
    <x v="2"/>
    <n v="4"/>
    <x v="5"/>
    <x v="3"/>
    <s v="No"/>
    <n v="0"/>
    <s v="Within 24h"/>
    <s v="Medium"/>
    <n v="1"/>
  </r>
  <r>
    <s v="Tkt-0213"/>
    <d v="2026-01-24T23:00:00"/>
    <x v="0"/>
    <x v="2"/>
    <x v="1"/>
    <x v="0"/>
    <x v="0"/>
    <n v="1.2"/>
    <x v="136"/>
    <x v="1"/>
    <s v="Yes"/>
    <n v="1"/>
    <s v="Within 24h"/>
    <s v="Medium"/>
    <n v="1"/>
  </r>
  <r>
    <s v="Tkt-0214"/>
    <d v="2026-02-28T14:00:00"/>
    <x v="0"/>
    <x v="1"/>
    <x v="4"/>
    <x v="4"/>
    <x v="2"/>
    <n v="7.8"/>
    <x v="37"/>
    <x v="0"/>
    <s v="No"/>
    <n v="0"/>
    <s v="Within 24h"/>
    <s v="Slow"/>
    <n v="1"/>
  </r>
  <r>
    <s v="Tkt-0215"/>
    <d v="2026-02-12T04:00:00"/>
    <x v="0"/>
    <x v="0"/>
    <x v="3"/>
    <x v="3"/>
    <x v="1"/>
    <n v="8.6999999999999993"/>
    <x v="137"/>
    <x v="0"/>
    <s v="No"/>
    <n v="0"/>
    <s v="Within 24h"/>
    <s v="Slow"/>
    <n v="1"/>
  </r>
  <r>
    <s v="Tkt-0216"/>
    <d v="2026-01-26T19:00:00"/>
    <x v="0"/>
    <x v="0"/>
    <x v="2"/>
    <x v="4"/>
    <x v="2"/>
    <n v="0.1"/>
    <x v="76"/>
    <x v="3"/>
    <s v="Yes"/>
    <n v="1"/>
    <s v="Within 24h"/>
    <s v="Fast"/>
    <n v="1"/>
  </r>
  <r>
    <s v="Tkt-0217"/>
    <d v="2026-01-03T07:00:00"/>
    <x v="0"/>
    <x v="1"/>
    <x v="0"/>
    <x v="2"/>
    <x v="1"/>
    <n v="1.6"/>
    <x v="138"/>
    <x v="2"/>
    <s v="Yes"/>
    <n v="1"/>
    <s v="Within 24h"/>
    <s v="Medium"/>
    <n v="1"/>
  </r>
  <r>
    <s v="Tkt-0218"/>
    <d v="2026-01-05T07:00:00"/>
    <x v="0"/>
    <x v="1"/>
    <x v="2"/>
    <x v="0"/>
    <x v="0"/>
    <n v="3.5"/>
    <x v="5"/>
    <x v="3"/>
    <s v="Yes"/>
    <n v="1"/>
    <s v="Within 24h"/>
    <s v="Medium"/>
    <n v="1"/>
  </r>
  <r>
    <s v="Tkt-0219"/>
    <d v="2026-02-27T21:00:00"/>
    <x v="0"/>
    <x v="0"/>
    <x v="0"/>
    <x v="0"/>
    <x v="0"/>
    <n v="1.8"/>
    <x v="139"/>
    <x v="3"/>
    <s v="Yes"/>
    <n v="1"/>
    <s v="24-48h"/>
    <s v="Medium"/>
    <n v="1"/>
  </r>
  <r>
    <s v="Tkt-0220"/>
    <d v="2026-02-19T02:00:00"/>
    <x v="0"/>
    <x v="2"/>
    <x v="4"/>
    <x v="1"/>
    <x v="0"/>
    <n v="5.5"/>
    <x v="140"/>
    <x v="2"/>
    <s v="No"/>
    <n v="0"/>
    <s v="Within 24h"/>
    <s v="Slow"/>
    <n v="1"/>
  </r>
  <r>
    <s v="Tkt-0221"/>
    <d v="2026-02-09T07:00:00"/>
    <x v="0"/>
    <x v="0"/>
    <x v="3"/>
    <x v="4"/>
    <x v="2"/>
    <n v="2.4"/>
    <x v="90"/>
    <x v="3"/>
    <s v="Yes"/>
    <n v="1"/>
    <s v="Within 24h"/>
    <s v="Medium"/>
    <n v="1"/>
  </r>
  <r>
    <s v="Tkt-0222"/>
    <d v="2026-02-24T13:00:00"/>
    <x v="1"/>
    <x v="1"/>
    <x v="0"/>
    <x v="3"/>
    <x v="1"/>
    <n v="9.6"/>
    <x v="67"/>
    <x v="2"/>
    <s v="No"/>
    <n v="0"/>
    <s v="Within 24h"/>
    <s v="Slow"/>
    <n v="1"/>
  </r>
  <r>
    <s v="Tkt-0223"/>
    <d v="2025-12-16T07:00:00"/>
    <x v="0"/>
    <x v="2"/>
    <x v="0"/>
    <x v="2"/>
    <x v="1"/>
    <n v="7.2"/>
    <x v="141"/>
    <x v="2"/>
    <s v="No"/>
    <n v="0"/>
    <s v="Within 24h"/>
    <s v="Slow"/>
    <n v="1"/>
  </r>
  <r>
    <s v="Tkt-0224"/>
    <d v="2026-02-10T11:00:00"/>
    <x v="0"/>
    <x v="1"/>
    <x v="0"/>
    <x v="4"/>
    <x v="2"/>
    <n v="4.7"/>
    <x v="142"/>
    <x v="0"/>
    <s v="No"/>
    <n v="0"/>
    <s v="Within 24h"/>
    <s v="Slow"/>
    <n v="1"/>
  </r>
  <r>
    <s v="Tkt-0225"/>
    <d v="2026-02-12T23:00:00"/>
    <x v="0"/>
    <x v="1"/>
    <x v="3"/>
    <x v="0"/>
    <x v="0"/>
    <n v="6.8"/>
    <x v="91"/>
    <x v="2"/>
    <s v="No"/>
    <n v="0"/>
    <s v="Within 24h"/>
    <s v="Slow"/>
    <n v="1"/>
  </r>
  <r>
    <s v="Tkt-0226"/>
    <d v="2026-01-20T13:00:00"/>
    <x v="0"/>
    <x v="0"/>
    <x v="3"/>
    <x v="4"/>
    <x v="2"/>
    <n v="7"/>
    <x v="58"/>
    <x v="3"/>
    <s v="No"/>
    <n v="0"/>
    <s v="Within 24h"/>
    <s v="Slow"/>
    <n v="1"/>
  </r>
  <r>
    <s v="Tkt-0227"/>
    <d v="2026-02-23T13:00:00"/>
    <x v="0"/>
    <x v="0"/>
    <x v="4"/>
    <x v="1"/>
    <x v="0"/>
    <n v="2.8"/>
    <x v="115"/>
    <x v="2"/>
    <s v="Yes"/>
    <n v="1"/>
    <s v="Within 24h"/>
    <s v="Medium"/>
    <n v="1"/>
  </r>
  <r>
    <s v="Tkt-0228"/>
    <d v="2026-02-02T03:00:00"/>
    <x v="0"/>
    <x v="2"/>
    <x v="0"/>
    <x v="3"/>
    <x v="1"/>
    <n v="2.2000000000000002"/>
    <x v="143"/>
    <x v="3"/>
    <s v="Yes"/>
    <n v="1"/>
    <s v="Within 24h"/>
    <s v="Medium"/>
    <n v="1"/>
  </r>
  <r>
    <s v="Tkt-0229"/>
    <d v="2026-01-28T03:00:00"/>
    <x v="0"/>
    <x v="0"/>
    <x v="0"/>
    <x v="4"/>
    <x v="2"/>
    <n v="4.4000000000000004"/>
    <x v="5"/>
    <x v="2"/>
    <s v="No"/>
    <n v="0"/>
    <s v="Within 24h"/>
    <s v="Slow"/>
    <n v="1"/>
  </r>
  <r>
    <s v="Tkt-0230"/>
    <d v="2026-02-15T13:00:00"/>
    <x v="0"/>
    <x v="2"/>
    <x v="4"/>
    <x v="1"/>
    <x v="0"/>
    <n v="6.4"/>
    <x v="108"/>
    <x v="0"/>
    <s v="No"/>
    <n v="0"/>
    <s v="Within 24h"/>
    <s v="Slow"/>
    <n v="1"/>
  </r>
  <r>
    <s v="Tkt-0231"/>
    <d v="2025-12-19T11:00:00"/>
    <x v="0"/>
    <x v="0"/>
    <x v="0"/>
    <x v="0"/>
    <x v="0"/>
    <n v="4.5"/>
    <x v="129"/>
    <x v="3"/>
    <s v="No"/>
    <n v="0"/>
    <s v="Within 24h"/>
    <s v="Slow"/>
    <n v="1"/>
  </r>
  <r>
    <s v="Tkt-0232"/>
    <d v="2025-12-11T01:00:00"/>
    <x v="0"/>
    <x v="0"/>
    <x v="1"/>
    <x v="4"/>
    <x v="2"/>
    <n v="0.3"/>
    <x v="96"/>
    <x v="3"/>
    <s v="Yes"/>
    <n v="1"/>
    <s v="Within 24h"/>
    <s v="Fast"/>
    <n v="1"/>
  </r>
  <r>
    <s v="Tkt-0233"/>
    <d v="2026-02-09T17:00:00"/>
    <x v="0"/>
    <x v="0"/>
    <x v="2"/>
    <x v="3"/>
    <x v="1"/>
    <n v="2.2000000000000002"/>
    <x v="144"/>
    <x v="3"/>
    <s v="Yes"/>
    <n v="1"/>
    <s v="Within 24h"/>
    <s v="Medium"/>
    <n v="1"/>
  </r>
  <r>
    <s v="Tkt-0234"/>
    <d v="2026-02-08T19:00:00"/>
    <x v="1"/>
    <x v="1"/>
    <x v="4"/>
    <x v="1"/>
    <x v="0"/>
    <n v="4"/>
    <x v="49"/>
    <x v="2"/>
    <s v="No"/>
    <n v="0"/>
    <s v="Within 24h"/>
    <s v="Medium"/>
    <n v="1"/>
  </r>
  <r>
    <s v="Tkt-0235"/>
    <d v="2026-01-08T00:00:00"/>
    <x v="0"/>
    <x v="0"/>
    <x v="4"/>
    <x v="4"/>
    <x v="2"/>
    <n v="4"/>
    <x v="45"/>
    <x v="0"/>
    <s v="No"/>
    <n v="0"/>
    <s v="Within 24h"/>
    <s v="Medium"/>
    <n v="1"/>
  </r>
  <r>
    <s v="Tkt-0236"/>
    <d v="2026-02-06T01:00:00"/>
    <x v="0"/>
    <x v="2"/>
    <x v="2"/>
    <x v="4"/>
    <x v="2"/>
    <n v="9.1"/>
    <x v="145"/>
    <x v="0"/>
    <s v="No"/>
    <n v="0"/>
    <s v="Within 24h"/>
    <s v="Slow"/>
    <n v="1"/>
  </r>
  <r>
    <s v="Tkt-0237"/>
    <d v="2026-01-17T11:00:00"/>
    <x v="2"/>
    <x v="1"/>
    <x v="0"/>
    <x v="0"/>
    <x v="0"/>
    <n v="0.7"/>
    <x v="83"/>
    <x v="0"/>
    <s v="Yes"/>
    <n v="1"/>
    <s v="Within 24h"/>
    <s v="Fast"/>
    <n v="1"/>
  </r>
  <r>
    <s v="Tkt-0238"/>
    <d v="2025-12-05T01:00:00"/>
    <x v="0"/>
    <x v="2"/>
    <x v="0"/>
    <x v="0"/>
    <x v="0"/>
    <n v="5.5"/>
    <x v="146"/>
    <x v="0"/>
    <s v="No"/>
    <n v="0"/>
    <s v="Within 24h"/>
    <s v="Slow"/>
    <n v="1"/>
  </r>
  <r>
    <s v="Tkt-0239"/>
    <d v="2026-01-28T16:00:00"/>
    <x v="1"/>
    <x v="0"/>
    <x v="0"/>
    <x v="0"/>
    <x v="0"/>
    <n v="7.9"/>
    <x v="14"/>
    <x v="2"/>
    <s v="No"/>
    <n v="0"/>
    <s v="Within 24h"/>
    <s v="Slow"/>
    <n v="1"/>
  </r>
  <r>
    <s v="Tkt-0240"/>
    <d v="2026-02-08T02:00:00"/>
    <x v="0"/>
    <x v="2"/>
    <x v="2"/>
    <x v="1"/>
    <x v="0"/>
    <n v="9.9"/>
    <x v="69"/>
    <x v="3"/>
    <s v="No"/>
    <n v="0"/>
    <s v="Within 24h"/>
    <s v="Slow"/>
    <n v="1"/>
  </r>
  <r>
    <s v="Tkt-0241"/>
    <d v="2026-02-15T12:00:00"/>
    <x v="0"/>
    <x v="2"/>
    <x v="0"/>
    <x v="1"/>
    <x v="0"/>
    <n v="3.2"/>
    <x v="120"/>
    <x v="1"/>
    <s v="Yes"/>
    <n v="1"/>
    <s v="Within 24h"/>
    <s v="Medium"/>
    <n v="1"/>
  </r>
  <r>
    <s v="Tkt-0242"/>
    <d v="2026-02-24T09:00:00"/>
    <x v="0"/>
    <x v="2"/>
    <x v="4"/>
    <x v="1"/>
    <x v="0"/>
    <n v="5.4"/>
    <x v="16"/>
    <x v="0"/>
    <s v="No"/>
    <n v="0"/>
    <s v="Within 24h"/>
    <s v="Slow"/>
    <n v="1"/>
  </r>
  <r>
    <s v="Tkt-0243"/>
    <d v="2026-01-31T18:00:00"/>
    <x v="0"/>
    <x v="2"/>
    <x v="1"/>
    <x v="0"/>
    <x v="0"/>
    <n v="5.6"/>
    <x v="69"/>
    <x v="1"/>
    <s v="No"/>
    <n v="0"/>
    <s v="Within 24h"/>
    <s v="Slow"/>
    <n v="1"/>
  </r>
  <r>
    <s v="Tkt-0244"/>
    <d v="2026-01-01T13:00:00"/>
    <x v="2"/>
    <x v="2"/>
    <x v="2"/>
    <x v="0"/>
    <x v="0"/>
    <n v="4.7"/>
    <x v="147"/>
    <x v="2"/>
    <s v="No"/>
    <n v="0"/>
    <s v="Within 24h"/>
    <s v="Slow"/>
    <n v="1"/>
  </r>
  <r>
    <s v="Tkt-0245"/>
    <d v="2026-01-20T17:00:00"/>
    <x v="0"/>
    <x v="1"/>
    <x v="3"/>
    <x v="4"/>
    <x v="2"/>
    <n v="4"/>
    <x v="148"/>
    <x v="2"/>
    <s v="No"/>
    <n v="0"/>
    <s v="Within 24h"/>
    <s v="Medium"/>
    <n v="1"/>
  </r>
  <r>
    <s v="Tkt-0246"/>
    <d v="2026-02-01T00:00:00"/>
    <x v="0"/>
    <x v="0"/>
    <x v="0"/>
    <x v="1"/>
    <x v="0"/>
    <n v="5.3"/>
    <x v="149"/>
    <x v="1"/>
    <s v="No"/>
    <n v="0"/>
    <s v="Within 24h"/>
    <s v="Slow"/>
    <n v="1"/>
  </r>
  <r>
    <s v="Tkt-0247"/>
    <d v="2025-12-06T18:00:00"/>
    <x v="0"/>
    <x v="0"/>
    <x v="2"/>
    <x v="1"/>
    <x v="0"/>
    <n v="0.1"/>
    <x v="50"/>
    <x v="3"/>
    <s v="Yes"/>
    <n v="1"/>
    <s v="Within 24h"/>
    <s v="Fast"/>
    <n v="1"/>
  </r>
  <r>
    <s v="Tkt-0248"/>
    <d v="2026-01-08T14:00:00"/>
    <x v="0"/>
    <x v="2"/>
    <x v="4"/>
    <x v="0"/>
    <x v="0"/>
    <n v="5.9"/>
    <x v="110"/>
    <x v="1"/>
    <s v="No"/>
    <n v="0"/>
    <s v="Within 24h"/>
    <s v="Slow"/>
    <n v="1"/>
  </r>
  <r>
    <s v="Tkt-0249"/>
    <d v="2026-01-24T22:00:00"/>
    <x v="0"/>
    <x v="1"/>
    <x v="0"/>
    <x v="0"/>
    <x v="0"/>
    <n v="4.5"/>
    <x v="150"/>
    <x v="2"/>
    <s v="No"/>
    <n v="0"/>
    <s v="Within 24h"/>
    <s v="Slow"/>
    <n v="1"/>
  </r>
  <r>
    <s v="Tkt-0250"/>
    <d v="2026-01-24T13:00:00"/>
    <x v="0"/>
    <x v="2"/>
    <x v="0"/>
    <x v="1"/>
    <x v="0"/>
    <n v="3.6"/>
    <x v="151"/>
    <x v="1"/>
    <s v="Yes"/>
    <n v="1"/>
    <s v="Within 24h"/>
    <s v="Medium"/>
    <n v="1"/>
  </r>
  <r>
    <s v="Tkt-0251"/>
    <d v="2025-12-08T08:00:00"/>
    <x v="0"/>
    <x v="1"/>
    <x v="1"/>
    <x v="3"/>
    <x v="1"/>
    <n v="9.3000000000000007"/>
    <x v="152"/>
    <x v="0"/>
    <s v="No"/>
    <n v="0"/>
    <s v="Within 24h"/>
    <s v="Slow"/>
    <n v="1"/>
  </r>
  <r>
    <s v="Tkt-0252"/>
    <d v="2026-01-08T03:00:00"/>
    <x v="0"/>
    <x v="0"/>
    <x v="4"/>
    <x v="0"/>
    <x v="0"/>
    <n v="2.5"/>
    <x v="142"/>
    <x v="0"/>
    <s v="Yes"/>
    <n v="1"/>
    <s v="Within 24h"/>
    <s v="Medium"/>
    <n v="1"/>
  </r>
  <r>
    <s v="Tkt-0253"/>
    <d v="2025-12-22T14:00:00"/>
    <x v="0"/>
    <x v="0"/>
    <x v="2"/>
    <x v="3"/>
    <x v="1"/>
    <n v="3.2"/>
    <x v="29"/>
    <x v="3"/>
    <s v="Yes"/>
    <n v="1"/>
    <s v="Within 24h"/>
    <s v="Medium"/>
    <n v="1"/>
  </r>
  <r>
    <s v="Tkt-0254"/>
    <d v="2026-02-25T21:00:00"/>
    <x v="1"/>
    <x v="1"/>
    <x v="2"/>
    <x v="1"/>
    <x v="0"/>
    <n v="9.1999999999999993"/>
    <x v="153"/>
    <x v="1"/>
    <s v="No"/>
    <n v="0"/>
    <s v="Within 24h"/>
    <s v="Slow"/>
    <n v="1"/>
  </r>
  <r>
    <s v="Tkt-0255"/>
    <d v="2026-01-26T19:00:00"/>
    <x v="0"/>
    <x v="1"/>
    <x v="4"/>
    <x v="4"/>
    <x v="2"/>
    <n v="2.1"/>
    <x v="5"/>
    <x v="1"/>
    <s v="Yes"/>
    <n v="1"/>
    <s v="Within 24h"/>
    <s v="Medium"/>
    <n v="1"/>
  </r>
  <r>
    <s v="Tkt-0256"/>
    <d v="2025-12-16T16:00:00"/>
    <x v="0"/>
    <x v="0"/>
    <x v="3"/>
    <x v="0"/>
    <x v="0"/>
    <n v="2.8"/>
    <x v="91"/>
    <x v="1"/>
    <s v="Yes"/>
    <n v="1"/>
    <s v="Within 24h"/>
    <s v="Medium"/>
    <n v="1"/>
  </r>
  <r>
    <s v="Tkt-0257"/>
    <d v="2026-02-24T21:00:00"/>
    <x v="0"/>
    <x v="1"/>
    <x v="3"/>
    <x v="4"/>
    <x v="2"/>
    <n v="3.8"/>
    <x v="154"/>
    <x v="1"/>
    <s v="Yes"/>
    <n v="1"/>
    <s v="Within 24h"/>
    <s v="Medium"/>
    <n v="1"/>
  </r>
  <r>
    <s v="Tkt-0258"/>
    <d v="2025-12-14T11:00:00"/>
    <x v="0"/>
    <x v="0"/>
    <x v="3"/>
    <x v="1"/>
    <x v="0"/>
    <n v="6.3"/>
    <x v="31"/>
    <x v="3"/>
    <s v="No"/>
    <n v="0"/>
    <s v="Within 24h"/>
    <s v="Slow"/>
    <n v="1"/>
  </r>
  <r>
    <s v="Tkt-0259"/>
    <d v="2026-01-15T01:00:00"/>
    <x v="1"/>
    <x v="1"/>
    <x v="3"/>
    <x v="0"/>
    <x v="0"/>
    <n v="4.7"/>
    <x v="5"/>
    <x v="2"/>
    <s v="No"/>
    <n v="0"/>
    <s v="Within 24h"/>
    <s v="Slow"/>
    <n v="1"/>
  </r>
  <r>
    <s v="Tkt-0260"/>
    <d v="2026-01-19T11:00:00"/>
    <x v="0"/>
    <x v="0"/>
    <x v="2"/>
    <x v="4"/>
    <x v="2"/>
    <n v="1"/>
    <x v="61"/>
    <x v="3"/>
    <s v="Yes"/>
    <n v="1"/>
    <s v="Within 24h"/>
    <s v="Fast"/>
    <n v="1"/>
  </r>
  <r>
    <s v="Tkt-0261"/>
    <d v="2025-12-13T08:00:00"/>
    <x v="0"/>
    <x v="2"/>
    <x v="4"/>
    <x v="1"/>
    <x v="0"/>
    <n v="2.9"/>
    <x v="5"/>
    <x v="2"/>
    <s v="Yes"/>
    <n v="1"/>
    <s v="Within 24h"/>
    <s v="Medium"/>
    <n v="1"/>
  </r>
  <r>
    <s v="Tkt-0262"/>
    <d v="2026-02-14T12:00:00"/>
    <x v="1"/>
    <x v="0"/>
    <x v="2"/>
    <x v="1"/>
    <x v="0"/>
    <n v="2.7"/>
    <x v="155"/>
    <x v="2"/>
    <s v="Yes"/>
    <n v="1"/>
    <s v="Within 24h"/>
    <s v="Medium"/>
    <n v="1"/>
  </r>
  <r>
    <s v="Tkt-0263"/>
    <d v="2025-12-17T18:00:00"/>
    <x v="0"/>
    <x v="1"/>
    <x v="3"/>
    <x v="2"/>
    <x v="1"/>
    <n v="4"/>
    <x v="37"/>
    <x v="2"/>
    <s v="No"/>
    <n v="0"/>
    <s v="Within 24h"/>
    <s v="Medium"/>
    <n v="1"/>
  </r>
  <r>
    <s v="Tkt-0264"/>
    <d v="2026-01-27T23:00:00"/>
    <x v="0"/>
    <x v="0"/>
    <x v="4"/>
    <x v="0"/>
    <x v="0"/>
    <n v="5.3"/>
    <x v="156"/>
    <x v="1"/>
    <s v="No"/>
    <n v="0"/>
    <s v="Within 24h"/>
    <s v="Slow"/>
    <n v="1"/>
  </r>
  <r>
    <s v="Tkt-0265"/>
    <d v="2026-01-05T00:00:00"/>
    <x v="0"/>
    <x v="0"/>
    <x v="4"/>
    <x v="3"/>
    <x v="1"/>
    <n v="5.2"/>
    <x v="157"/>
    <x v="3"/>
    <s v="No"/>
    <n v="0"/>
    <s v="Within 24h"/>
    <s v="Slow"/>
    <n v="1"/>
  </r>
  <r>
    <s v="Tkt-0266"/>
    <d v="2025-12-24T07:00:00"/>
    <x v="0"/>
    <x v="0"/>
    <x v="4"/>
    <x v="1"/>
    <x v="0"/>
    <n v="0.1"/>
    <x v="146"/>
    <x v="2"/>
    <s v="Yes"/>
    <n v="1"/>
    <s v="Within 24h"/>
    <s v="Fast"/>
    <n v="1"/>
  </r>
  <r>
    <s v="Tkt-0267"/>
    <d v="2025-12-03T01:00:00"/>
    <x v="0"/>
    <x v="1"/>
    <x v="4"/>
    <x v="0"/>
    <x v="0"/>
    <n v="6.9"/>
    <x v="158"/>
    <x v="0"/>
    <s v="No"/>
    <n v="0"/>
    <s v="Within 24h"/>
    <s v="Slow"/>
    <n v="1"/>
  </r>
  <r>
    <s v="Tkt-0268"/>
    <d v="2025-12-05T18:00:00"/>
    <x v="0"/>
    <x v="1"/>
    <x v="0"/>
    <x v="0"/>
    <x v="0"/>
    <n v="4.8"/>
    <x v="148"/>
    <x v="2"/>
    <s v="No"/>
    <n v="0"/>
    <s v="Within 24h"/>
    <s v="Slow"/>
    <n v="1"/>
  </r>
  <r>
    <s v="Tkt-0269"/>
    <d v="2026-01-13T11:00:00"/>
    <x v="0"/>
    <x v="0"/>
    <x v="3"/>
    <x v="0"/>
    <x v="0"/>
    <n v="7.7"/>
    <x v="23"/>
    <x v="3"/>
    <s v="No"/>
    <n v="0"/>
    <s v="Within 24h"/>
    <s v="Slow"/>
    <n v="1"/>
  </r>
  <r>
    <s v="Tkt-0270"/>
    <d v="2026-02-20T03:00:00"/>
    <x v="0"/>
    <x v="1"/>
    <x v="0"/>
    <x v="1"/>
    <x v="0"/>
    <n v="5.3"/>
    <x v="159"/>
    <x v="1"/>
    <s v="No"/>
    <n v="0"/>
    <s v="Within 24h"/>
    <s v="Slow"/>
    <n v="1"/>
  </r>
  <r>
    <s v="Tkt-0271"/>
    <d v="2026-01-17T05:00:00"/>
    <x v="0"/>
    <x v="2"/>
    <x v="3"/>
    <x v="2"/>
    <x v="1"/>
    <n v="7"/>
    <x v="13"/>
    <x v="0"/>
    <s v="No"/>
    <n v="0"/>
    <s v="Within 24h"/>
    <s v="Slow"/>
    <n v="1"/>
  </r>
  <r>
    <s v="Tkt-0272"/>
    <d v="2026-01-19T03:00:00"/>
    <x v="0"/>
    <x v="2"/>
    <x v="3"/>
    <x v="0"/>
    <x v="0"/>
    <n v="5.4"/>
    <x v="5"/>
    <x v="2"/>
    <s v="No"/>
    <n v="0"/>
    <s v="Within 24h"/>
    <s v="Slow"/>
    <n v="1"/>
  </r>
  <r>
    <s v="Tkt-0273"/>
    <d v="2026-02-13T01:00:00"/>
    <x v="0"/>
    <x v="0"/>
    <x v="4"/>
    <x v="1"/>
    <x v="0"/>
    <n v="7.6"/>
    <x v="5"/>
    <x v="1"/>
    <s v="No"/>
    <n v="0"/>
    <s v="Within 24h"/>
    <s v="Slow"/>
    <n v="1"/>
  </r>
  <r>
    <s v="Tkt-0274"/>
    <d v="2026-01-21T08:00:00"/>
    <x v="0"/>
    <x v="1"/>
    <x v="1"/>
    <x v="0"/>
    <x v="0"/>
    <n v="5.5"/>
    <x v="127"/>
    <x v="3"/>
    <s v="No"/>
    <n v="0"/>
    <s v="Within 24h"/>
    <s v="Slow"/>
    <n v="1"/>
  </r>
  <r>
    <s v="Tkt-0275"/>
    <d v="2026-01-20T03:00:00"/>
    <x v="0"/>
    <x v="0"/>
    <x v="4"/>
    <x v="0"/>
    <x v="0"/>
    <n v="4"/>
    <x v="125"/>
    <x v="3"/>
    <s v="No"/>
    <n v="0"/>
    <s v="Within 24h"/>
    <s v="Medium"/>
    <n v="1"/>
  </r>
  <r>
    <s v="Tkt-0276"/>
    <d v="2026-01-07T14:00:00"/>
    <x v="0"/>
    <x v="0"/>
    <x v="4"/>
    <x v="0"/>
    <x v="0"/>
    <n v="9.9"/>
    <x v="136"/>
    <x v="0"/>
    <s v="No"/>
    <n v="0"/>
    <s v="Within 24h"/>
    <s v="Slow"/>
    <n v="1"/>
  </r>
  <r>
    <s v="Tkt-0277"/>
    <d v="2026-01-08T02:00:00"/>
    <x v="0"/>
    <x v="2"/>
    <x v="3"/>
    <x v="1"/>
    <x v="0"/>
    <n v="6.4"/>
    <x v="65"/>
    <x v="0"/>
    <s v="No"/>
    <n v="0"/>
    <s v="Within 24h"/>
    <s v="Slow"/>
    <n v="1"/>
  </r>
  <r>
    <s v="Tkt-0278"/>
    <d v="2026-01-22T07:00:00"/>
    <x v="0"/>
    <x v="0"/>
    <x v="4"/>
    <x v="1"/>
    <x v="0"/>
    <n v="5.6"/>
    <x v="52"/>
    <x v="2"/>
    <s v="No"/>
    <n v="0"/>
    <s v="Within 24h"/>
    <s v="Slow"/>
    <n v="1"/>
  </r>
  <r>
    <s v="Tkt-0279"/>
    <d v="2026-02-12T18:00:00"/>
    <x v="0"/>
    <x v="1"/>
    <x v="0"/>
    <x v="0"/>
    <x v="0"/>
    <n v="1"/>
    <x v="160"/>
    <x v="1"/>
    <s v="Yes"/>
    <n v="1"/>
    <s v="Within 24h"/>
    <s v="Fast"/>
    <n v="1"/>
  </r>
  <r>
    <s v="Tkt-0280"/>
    <d v="2026-01-06T03:00:00"/>
    <x v="0"/>
    <x v="1"/>
    <x v="0"/>
    <x v="1"/>
    <x v="0"/>
    <n v="1"/>
    <x v="20"/>
    <x v="1"/>
    <s v="Yes"/>
    <n v="1"/>
    <s v="Within 24h"/>
    <s v="Fast"/>
    <n v="1"/>
  </r>
  <r>
    <s v="Tkt-0281"/>
    <d v="2026-01-11T03:00:00"/>
    <x v="0"/>
    <x v="1"/>
    <x v="3"/>
    <x v="4"/>
    <x v="2"/>
    <n v="4.9000000000000004"/>
    <x v="42"/>
    <x v="3"/>
    <s v="No"/>
    <n v="0"/>
    <s v="Within 24h"/>
    <s v="Slow"/>
    <n v="1"/>
  </r>
  <r>
    <s v="Tkt-0282"/>
    <d v="2026-02-06T05:00:00"/>
    <x v="0"/>
    <x v="1"/>
    <x v="3"/>
    <x v="0"/>
    <x v="0"/>
    <n v="4.5999999999999996"/>
    <x v="83"/>
    <x v="3"/>
    <s v="No"/>
    <n v="0"/>
    <s v="Within 24h"/>
    <s v="Slow"/>
    <n v="1"/>
  </r>
  <r>
    <s v="Tkt-0283"/>
    <d v="2025-12-18T15:00:00"/>
    <x v="1"/>
    <x v="0"/>
    <x v="0"/>
    <x v="0"/>
    <x v="0"/>
    <n v="2.7"/>
    <x v="127"/>
    <x v="2"/>
    <s v="Yes"/>
    <n v="1"/>
    <s v="Within 24h"/>
    <s v="Medium"/>
    <n v="1"/>
  </r>
  <r>
    <s v="Tkt-0284"/>
    <d v="2026-01-08T07:00:00"/>
    <x v="0"/>
    <x v="0"/>
    <x v="0"/>
    <x v="1"/>
    <x v="0"/>
    <n v="4.5999999999999996"/>
    <x v="161"/>
    <x v="2"/>
    <s v="No"/>
    <n v="0"/>
    <s v="Within 24h"/>
    <s v="Slow"/>
    <n v="1"/>
  </r>
  <r>
    <s v="Tkt-0285"/>
    <d v="2026-02-28T15:00:00"/>
    <x v="2"/>
    <x v="1"/>
    <x v="0"/>
    <x v="3"/>
    <x v="1"/>
    <n v="8.1999999999999993"/>
    <x v="130"/>
    <x v="3"/>
    <s v="No"/>
    <n v="0"/>
    <s v="Within 24h"/>
    <s v="Slow"/>
    <n v="1"/>
  </r>
  <r>
    <s v="Tkt-0286"/>
    <d v="2026-01-23T18:00:00"/>
    <x v="0"/>
    <x v="0"/>
    <x v="1"/>
    <x v="1"/>
    <x v="0"/>
    <n v="5.9"/>
    <x v="5"/>
    <x v="3"/>
    <s v="No"/>
    <n v="0"/>
    <s v="Within 24h"/>
    <s v="Slow"/>
    <n v="1"/>
  </r>
  <r>
    <s v="Tkt-0287"/>
    <d v="2026-01-04T06:00:00"/>
    <x v="0"/>
    <x v="0"/>
    <x v="3"/>
    <x v="0"/>
    <x v="0"/>
    <n v="1.3"/>
    <x v="112"/>
    <x v="1"/>
    <s v="Yes"/>
    <n v="1"/>
    <s v="Within 24h"/>
    <s v="Medium"/>
    <n v="1"/>
  </r>
  <r>
    <s v="Tkt-0288"/>
    <d v="2025-12-13T04:00:00"/>
    <x v="0"/>
    <x v="0"/>
    <x v="3"/>
    <x v="0"/>
    <x v="0"/>
    <n v="3.9"/>
    <x v="147"/>
    <x v="1"/>
    <s v="Yes"/>
    <n v="1"/>
    <s v="Within 24h"/>
    <s v="Medium"/>
    <n v="1"/>
  </r>
  <r>
    <s v="Tkt-0289"/>
    <d v="2026-01-18T10:00:00"/>
    <x v="0"/>
    <x v="0"/>
    <x v="0"/>
    <x v="4"/>
    <x v="2"/>
    <n v="2.2000000000000002"/>
    <x v="159"/>
    <x v="1"/>
    <s v="Yes"/>
    <n v="1"/>
    <s v="Within 24h"/>
    <s v="Medium"/>
    <n v="1"/>
  </r>
  <r>
    <s v="Tkt-0290"/>
    <d v="2026-01-03T10:00:00"/>
    <x v="2"/>
    <x v="0"/>
    <x v="4"/>
    <x v="3"/>
    <x v="1"/>
    <n v="3.2"/>
    <x v="3"/>
    <x v="2"/>
    <s v="Yes"/>
    <n v="1"/>
    <s v="Within 24h"/>
    <s v="Medium"/>
    <n v="1"/>
  </r>
  <r>
    <s v="Tkt-0291"/>
    <d v="2025-12-04T18:00:00"/>
    <x v="2"/>
    <x v="0"/>
    <x v="0"/>
    <x v="0"/>
    <x v="0"/>
    <n v="3.2"/>
    <x v="162"/>
    <x v="1"/>
    <s v="Yes"/>
    <n v="1"/>
    <s v="24-48h"/>
    <s v="Medium"/>
    <n v="1"/>
  </r>
  <r>
    <s v="Tkt-0292"/>
    <d v="2025-12-25T09:00:00"/>
    <x v="0"/>
    <x v="1"/>
    <x v="0"/>
    <x v="1"/>
    <x v="0"/>
    <n v="3"/>
    <x v="33"/>
    <x v="0"/>
    <s v="Yes"/>
    <n v="1"/>
    <s v="Within 24h"/>
    <s v="Medium"/>
    <n v="1"/>
  </r>
  <r>
    <s v="Tkt-0293"/>
    <d v="2026-02-07T03:00:00"/>
    <x v="0"/>
    <x v="1"/>
    <x v="3"/>
    <x v="1"/>
    <x v="0"/>
    <n v="1.1000000000000001"/>
    <x v="33"/>
    <x v="0"/>
    <s v="Yes"/>
    <n v="1"/>
    <s v="Within 24h"/>
    <s v="Medium"/>
    <n v="1"/>
  </r>
  <r>
    <s v="Tkt-0294"/>
    <d v="2026-02-18T15:00:00"/>
    <x v="1"/>
    <x v="2"/>
    <x v="0"/>
    <x v="0"/>
    <x v="0"/>
    <n v="3.9"/>
    <x v="163"/>
    <x v="1"/>
    <s v="Yes"/>
    <n v="1"/>
    <s v="Within 24h"/>
    <s v="Medium"/>
    <n v="1"/>
  </r>
  <r>
    <s v="Tkt-0295"/>
    <d v="2025-12-25T03:00:00"/>
    <x v="0"/>
    <x v="0"/>
    <x v="0"/>
    <x v="3"/>
    <x v="1"/>
    <n v="2.8"/>
    <x v="140"/>
    <x v="1"/>
    <s v="Yes"/>
    <n v="1"/>
    <s v="Within 24h"/>
    <s v="Medium"/>
    <n v="1"/>
  </r>
  <r>
    <s v="Tkt-0296"/>
    <d v="2025-12-09T05:00:00"/>
    <x v="0"/>
    <x v="0"/>
    <x v="0"/>
    <x v="0"/>
    <x v="0"/>
    <n v="0.1"/>
    <x v="164"/>
    <x v="3"/>
    <s v="Yes"/>
    <n v="1"/>
    <s v="Within 24h"/>
    <s v="Fast"/>
    <n v="1"/>
  </r>
  <r>
    <s v="Tkt-0297"/>
    <d v="2026-01-17T22:00:00"/>
    <x v="0"/>
    <x v="0"/>
    <x v="0"/>
    <x v="3"/>
    <x v="1"/>
    <n v="9.3000000000000007"/>
    <x v="79"/>
    <x v="3"/>
    <s v="No"/>
    <n v="0"/>
    <s v="Within 24h"/>
    <s v="Slow"/>
    <n v="1"/>
  </r>
  <r>
    <s v="Tkt-0298"/>
    <d v="2026-01-29T03:00:00"/>
    <x v="0"/>
    <x v="1"/>
    <x v="0"/>
    <x v="1"/>
    <x v="0"/>
    <n v="6.9"/>
    <x v="165"/>
    <x v="2"/>
    <s v="No"/>
    <n v="0"/>
    <s v="Within 24h"/>
    <s v="Slow"/>
    <n v="1"/>
  </r>
  <r>
    <s v="Tkt-0299"/>
    <d v="2026-01-20T17:00:00"/>
    <x v="1"/>
    <x v="1"/>
    <x v="3"/>
    <x v="0"/>
    <x v="0"/>
    <n v="3.3"/>
    <x v="166"/>
    <x v="0"/>
    <s v="Yes"/>
    <n v="1"/>
    <s v="Within 24h"/>
    <s v="Medium"/>
    <n v="1"/>
  </r>
  <r>
    <s v="Tkt-0300"/>
    <d v="2026-02-03T20:00:00"/>
    <x v="2"/>
    <x v="0"/>
    <x v="2"/>
    <x v="1"/>
    <x v="0"/>
    <n v="4.2"/>
    <x v="5"/>
    <x v="0"/>
    <s v="No"/>
    <n v="0"/>
    <s v="Within 24h"/>
    <s v="Slow"/>
    <n v="1"/>
  </r>
  <r>
    <s v="Tkt-0301"/>
    <d v="2026-02-25T23:00:00"/>
    <x v="0"/>
    <x v="2"/>
    <x v="4"/>
    <x v="0"/>
    <x v="0"/>
    <n v="1.3"/>
    <x v="167"/>
    <x v="2"/>
    <s v="Yes"/>
    <n v="1"/>
    <s v="Within 24h"/>
    <s v="Medium"/>
    <n v="1"/>
  </r>
  <r>
    <s v="Tkt-0302"/>
    <d v="2026-01-28T09:00:00"/>
    <x v="0"/>
    <x v="0"/>
    <x v="3"/>
    <x v="0"/>
    <x v="0"/>
    <n v="8.4"/>
    <x v="168"/>
    <x v="1"/>
    <s v="No"/>
    <n v="0"/>
    <s v="Within 24h"/>
    <s v="Slow"/>
    <n v="1"/>
  </r>
  <r>
    <s v="Tkt-0303"/>
    <d v="2025-12-12T22:00:00"/>
    <x v="0"/>
    <x v="1"/>
    <x v="0"/>
    <x v="1"/>
    <x v="0"/>
    <n v="8.9"/>
    <x v="169"/>
    <x v="1"/>
    <s v="No"/>
    <n v="0"/>
    <s v="24-48h"/>
    <s v="Slow"/>
    <n v="1"/>
  </r>
  <r>
    <s v="Tkt-0304"/>
    <d v="2026-01-01T11:00:00"/>
    <x v="0"/>
    <x v="1"/>
    <x v="1"/>
    <x v="4"/>
    <x v="2"/>
    <n v="4.5999999999999996"/>
    <x v="145"/>
    <x v="2"/>
    <s v="No"/>
    <n v="0"/>
    <s v="Within 24h"/>
    <s v="Slow"/>
    <n v="1"/>
  </r>
  <r>
    <s v="Tkt-0305"/>
    <d v="2025-12-10T06:00:00"/>
    <x v="0"/>
    <x v="2"/>
    <x v="3"/>
    <x v="1"/>
    <x v="0"/>
    <n v="6.8"/>
    <x v="88"/>
    <x v="0"/>
    <s v="No"/>
    <n v="0"/>
    <s v="Within 24h"/>
    <s v="Slow"/>
    <n v="1"/>
  </r>
  <r>
    <s v="Tkt-0306"/>
    <d v="2026-02-04T02:00:00"/>
    <x v="0"/>
    <x v="1"/>
    <x v="0"/>
    <x v="1"/>
    <x v="0"/>
    <n v="4.5999999999999996"/>
    <x v="170"/>
    <x v="0"/>
    <s v="No"/>
    <n v="0"/>
    <s v="Within 24h"/>
    <s v="Slow"/>
    <n v="1"/>
  </r>
  <r>
    <s v="Tkt-0307"/>
    <d v="2025-12-01T12:00:00"/>
    <x v="0"/>
    <x v="2"/>
    <x v="4"/>
    <x v="3"/>
    <x v="1"/>
    <n v="0.9"/>
    <x v="165"/>
    <x v="1"/>
    <s v="Yes"/>
    <n v="1"/>
    <s v="Within 24h"/>
    <s v="Fast"/>
    <n v="1"/>
  </r>
  <r>
    <s v="Tkt-0308"/>
    <d v="2025-12-27T12:00:00"/>
    <x v="0"/>
    <x v="0"/>
    <x v="0"/>
    <x v="1"/>
    <x v="0"/>
    <n v="3.2"/>
    <x v="50"/>
    <x v="3"/>
    <s v="Yes"/>
    <n v="1"/>
    <s v="Within 24h"/>
    <s v="Medium"/>
    <n v="1"/>
  </r>
  <r>
    <s v="Tkt-0309"/>
    <d v="2026-01-28T20:00:00"/>
    <x v="0"/>
    <x v="2"/>
    <x v="3"/>
    <x v="1"/>
    <x v="0"/>
    <n v="4.5"/>
    <x v="171"/>
    <x v="2"/>
    <s v="No"/>
    <n v="0"/>
    <s v="Within 24h"/>
    <s v="Slow"/>
    <n v="1"/>
  </r>
  <r>
    <s v="Tkt-0310"/>
    <d v="2025-12-07T02:00:00"/>
    <x v="0"/>
    <x v="0"/>
    <x v="3"/>
    <x v="0"/>
    <x v="0"/>
    <n v="3.1"/>
    <x v="40"/>
    <x v="2"/>
    <s v="Yes"/>
    <n v="1"/>
    <s v="Within 24h"/>
    <s v="Medium"/>
    <n v="1"/>
  </r>
  <r>
    <s v="Tkt-0311"/>
    <d v="2026-02-28T21:00:00"/>
    <x v="2"/>
    <x v="2"/>
    <x v="2"/>
    <x v="0"/>
    <x v="0"/>
    <n v="3.7"/>
    <x v="106"/>
    <x v="1"/>
    <s v="Yes"/>
    <n v="1"/>
    <s v="Within 24h"/>
    <s v="Medium"/>
    <n v="1"/>
  </r>
  <r>
    <s v="Tkt-0312"/>
    <d v="2026-01-05T17:00:00"/>
    <x v="2"/>
    <x v="1"/>
    <x v="3"/>
    <x v="0"/>
    <x v="0"/>
    <n v="4"/>
    <x v="49"/>
    <x v="2"/>
    <s v="No"/>
    <n v="0"/>
    <s v="Within 24h"/>
    <s v="Medium"/>
    <n v="1"/>
  </r>
  <r>
    <s v="Tkt-0313"/>
    <d v="2026-02-06T02:00:00"/>
    <x v="0"/>
    <x v="2"/>
    <x v="4"/>
    <x v="2"/>
    <x v="1"/>
    <n v="4"/>
    <x v="32"/>
    <x v="0"/>
    <s v="No"/>
    <n v="0"/>
    <s v="Within 24h"/>
    <s v="Medium"/>
    <n v="1"/>
  </r>
  <r>
    <s v="Tkt-0314"/>
    <d v="2025-12-24T10:00:00"/>
    <x v="0"/>
    <x v="1"/>
    <x v="1"/>
    <x v="4"/>
    <x v="2"/>
    <n v="4.3"/>
    <x v="172"/>
    <x v="1"/>
    <s v="No"/>
    <n v="0"/>
    <s v="Within 24h"/>
    <s v="Slow"/>
    <n v="1"/>
  </r>
  <r>
    <s v="Tkt-0315"/>
    <d v="2026-02-22T07:00:00"/>
    <x v="0"/>
    <x v="1"/>
    <x v="0"/>
    <x v="0"/>
    <x v="0"/>
    <n v="1.5"/>
    <x v="161"/>
    <x v="0"/>
    <s v="Yes"/>
    <n v="1"/>
    <s v="Within 24h"/>
    <s v="Medium"/>
    <n v="1"/>
  </r>
  <r>
    <s v="Tkt-0316"/>
    <d v="2026-01-28T21:00:00"/>
    <x v="0"/>
    <x v="1"/>
    <x v="0"/>
    <x v="1"/>
    <x v="0"/>
    <n v="2.4"/>
    <x v="50"/>
    <x v="3"/>
    <s v="Yes"/>
    <n v="1"/>
    <s v="Within 24h"/>
    <s v="Medium"/>
    <n v="1"/>
  </r>
  <r>
    <s v="Tkt-0317"/>
    <d v="2026-01-01T20:00:00"/>
    <x v="1"/>
    <x v="1"/>
    <x v="3"/>
    <x v="2"/>
    <x v="1"/>
    <n v="1"/>
    <x v="96"/>
    <x v="2"/>
    <s v="Yes"/>
    <n v="1"/>
    <s v="Within 24h"/>
    <s v="Fast"/>
    <n v="1"/>
  </r>
  <r>
    <s v="Tkt-0318"/>
    <d v="2025-12-31T03:00:00"/>
    <x v="1"/>
    <x v="0"/>
    <x v="3"/>
    <x v="0"/>
    <x v="0"/>
    <n v="6.6"/>
    <x v="92"/>
    <x v="2"/>
    <s v="No"/>
    <n v="0"/>
    <s v="Within 24h"/>
    <s v="Slow"/>
    <n v="1"/>
  </r>
  <r>
    <s v="Tkt-0319"/>
    <d v="2025-12-23T07:00:00"/>
    <x v="0"/>
    <x v="0"/>
    <x v="3"/>
    <x v="0"/>
    <x v="0"/>
    <n v="0.1"/>
    <x v="78"/>
    <x v="0"/>
    <s v="Yes"/>
    <n v="1"/>
    <s v="Within 24h"/>
    <s v="Fast"/>
    <n v="1"/>
  </r>
  <r>
    <s v="Tkt-0320"/>
    <d v="2025-12-14T14:00:00"/>
    <x v="0"/>
    <x v="0"/>
    <x v="1"/>
    <x v="1"/>
    <x v="0"/>
    <n v="7.1"/>
    <x v="173"/>
    <x v="1"/>
    <s v="No"/>
    <n v="0"/>
    <s v="Within 24h"/>
    <s v="Slow"/>
    <n v="1"/>
  </r>
  <r>
    <s v="Tkt-0321"/>
    <d v="2026-01-03T05:00:00"/>
    <x v="0"/>
    <x v="0"/>
    <x v="4"/>
    <x v="3"/>
    <x v="1"/>
    <n v="7.7"/>
    <x v="174"/>
    <x v="1"/>
    <s v="No"/>
    <n v="0"/>
    <s v="Within 24h"/>
    <s v="Slow"/>
    <n v="1"/>
  </r>
  <r>
    <s v="Tkt-0322"/>
    <d v="2025-12-26T11:00:00"/>
    <x v="0"/>
    <x v="2"/>
    <x v="4"/>
    <x v="0"/>
    <x v="0"/>
    <n v="3.4"/>
    <x v="175"/>
    <x v="2"/>
    <s v="Yes"/>
    <n v="1"/>
    <s v="Within 24h"/>
    <s v="Medium"/>
    <n v="1"/>
  </r>
  <r>
    <s v="Tkt-0323"/>
    <d v="2025-12-20T10:00:00"/>
    <x v="0"/>
    <x v="0"/>
    <x v="3"/>
    <x v="0"/>
    <x v="0"/>
    <n v="0.1"/>
    <x v="79"/>
    <x v="0"/>
    <s v="Yes"/>
    <n v="1"/>
    <s v="Within 24h"/>
    <s v="Fast"/>
    <n v="1"/>
  </r>
  <r>
    <s v="Tkt-0324"/>
    <d v="2026-02-08T01:00:00"/>
    <x v="0"/>
    <x v="2"/>
    <x v="2"/>
    <x v="0"/>
    <x v="0"/>
    <n v="3.3"/>
    <x v="23"/>
    <x v="3"/>
    <s v="Yes"/>
    <n v="1"/>
    <s v="Within 24h"/>
    <s v="Medium"/>
    <n v="1"/>
  </r>
  <r>
    <s v="Tkt-0325"/>
    <d v="2025-12-30T10:00:00"/>
    <x v="0"/>
    <x v="0"/>
    <x v="1"/>
    <x v="0"/>
    <x v="0"/>
    <n v="4"/>
    <x v="161"/>
    <x v="0"/>
    <s v="No"/>
    <n v="0"/>
    <s v="Within 24h"/>
    <s v="Medium"/>
    <n v="1"/>
  </r>
  <r>
    <s v="Tkt-0326"/>
    <d v="2026-01-26T17:00:00"/>
    <x v="0"/>
    <x v="0"/>
    <x v="2"/>
    <x v="0"/>
    <x v="0"/>
    <n v="1.7"/>
    <x v="176"/>
    <x v="1"/>
    <s v="Yes"/>
    <n v="1"/>
    <s v="Within 24h"/>
    <s v="Medium"/>
    <n v="1"/>
  </r>
  <r>
    <s v="Tkt-0327"/>
    <d v="2025-12-09T16:00:00"/>
    <x v="0"/>
    <x v="2"/>
    <x v="0"/>
    <x v="1"/>
    <x v="0"/>
    <n v="2.9"/>
    <x v="5"/>
    <x v="2"/>
    <s v="Yes"/>
    <n v="1"/>
    <s v="Within 24h"/>
    <s v="Medium"/>
    <n v="1"/>
  </r>
  <r>
    <s v="Tkt-0328"/>
    <d v="2025-12-24T09:00:00"/>
    <x v="0"/>
    <x v="1"/>
    <x v="4"/>
    <x v="4"/>
    <x v="2"/>
    <n v="8"/>
    <x v="56"/>
    <x v="2"/>
    <s v="No"/>
    <n v="0"/>
    <s v="Within 24h"/>
    <s v="Slow"/>
    <n v="1"/>
  </r>
  <r>
    <s v="Tkt-0329"/>
    <d v="2025-12-10T17:00:00"/>
    <x v="0"/>
    <x v="1"/>
    <x v="0"/>
    <x v="0"/>
    <x v="0"/>
    <n v="5.9"/>
    <x v="170"/>
    <x v="2"/>
    <s v="No"/>
    <n v="0"/>
    <s v="Within 24h"/>
    <s v="Slow"/>
    <n v="1"/>
  </r>
  <r>
    <s v="Tkt-0330"/>
    <d v="2026-01-24T10:00:00"/>
    <x v="0"/>
    <x v="1"/>
    <x v="0"/>
    <x v="0"/>
    <x v="0"/>
    <n v="1.9"/>
    <x v="152"/>
    <x v="3"/>
    <s v="Yes"/>
    <n v="1"/>
    <s v="Within 24h"/>
    <s v="Medium"/>
    <n v="1"/>
  </r>
  <r>
    <s v="Tkt-0331"/>
    <d v="2026-02-19T02:00:00"/>
    <x v="0"/>
    <x v="1"/>
    <x v="0"/>
    <x v="0"/>
    <x v="0"/>
    <n v="0.2"/>
    <x v="51"/>
    <x v="3"/>
    <s v="Yes"/>
    <n v="1"/>
    <s v="Within 24h"/>
    <s v="Fast"/>
    <n v="1"/>
  </r>
  <r>
    <s v="Tkt-0332"/>
    <d v="2026-01-23T17:00:00"/>
    <x v="2"/>
    <x v="0"/>
    <x v="4"/>
    <x v="4"/>
    <x v="2"/>
    <n v="3.4"/>
    <x v="30"/>
    <x v="1"/>
    <s v="Yes"/>
    <n v="1"/>
    <s v="Within 24h"/>
    <s v="Medium"/>
    <n v="1"/>
  </r>
  <r>
    <s v="Tkt-0333"/>
    <d v="2026-01-25T14:00:00"/>
    <x v="1"/>
    <x v="2"/>
    <x v="4"/>
    <x v="4"/>
    <x v="2"/>
    <n v="3.7"/>
    <x v="14"/>
    <x v="0"/>
    <s v="Yes"/>
    <n v="1"/>
    <s v="Within 24h"/>
    <s v="Medium"/>
    <n v="1"/>
  </r>
  <r>
    <s v="Tkt-0334"/>
    <d v="2026-01-19T07:00:00"/>
    <x v="2"/>
    <x v="2"/>
    <x v="0"/>
    <x v="0"/>
    <x v="0"/>
    <n v="5.4"/>
    <x v="24"/>
    <x v="0"/>
    <s v="No"/>
    <n v="0"/>
    <s v="Within 24h"/>
    <s v="Slow"/>
    <n v="1"/>
  </r>
  <r>
    <s v="Tkt-0335"/>
    <d v="2026-02-18T20:00:00"/>
    <x v="2"/>
    <x v="1"/>
    <x v="3"/>
    <x v="0"/>
    <x v="0"/>
    <n v="2.9"/>
    <x v="92"/>
    <x v="0"/>
    <s v="Yes"/>
    <n v="1"/>
    <s v="Within 24h"/>
    <s v="Medium"/>
    <n v="1"/>
  </r>
  <r>
    <s v="Tkt-0336"/>
    <d v="2026-02-09T17:00:00"/>
    <x v="0"/>
    <x v="0"/>
    <x v="3"/>
    <x v="0"/>
    <x v="0"/>
    <n v="5.5"/>
    <x v="177"/>
    <x v="3"/>
    <s v="No"/>
    <n v="0"/>
    <s v="Within 24h"/>
    <s v="Slow"/>
    <n v="1"/>
  </r>
  <r>
    <s v="Tkt-0337"/>
    <d v="2026-01-10T02:00:00"/>
    <x v="0"/>
    <x v="1"/>
    <x v="3"/>
    <x v="0"/>
    <x v="0"/>
    <n v="9"/>
    <x v="178"/>
    <x v="2"/>
    <s v="No"/>
    <n v="0"/>
    <s v="24-48h"/>
    <s v="Slow"/>
    <n v="1"/>
  </r>
  <r>
    <s v="Tkt-0338"/>
    <d v="2026-02-09T02:00:00"/>
    <x v="0"/>
    <x v="0"/>
    <x v="0"/>
    <x v="0"/>
    <x v="0"/>
    <n v="6.2"/>
    <x v="179"/>
    <x v="1"/>
    <s v="No"/>
    <n v="0"/>
    <s v="Within 24h"/>
    <s v="Slow"/>
    <n v="1"/>
  </r>
  <r>
    <s v="Tkt-0339"/>
    <d v="2026-02-01T22:00:00"/>
    <x v="1"/>
    <x v="0"/>
    <x v="3"/>
    <x v="0"/>
    <x v="0"/>
    <n v="4.0999999999999996"/>
    <x v="69"/>
    <x v="1"/>
    <s v="No"/>
    <n v="0"/>
    <s v="Within 24h"/>
    <s v="Slow"/>
    <n v="1"/>
  </r>
  <r>
    <s v="Tkt-0340"/>
    <d v="2026-01-06T11:00:00"/>
    <x v="0"/>
    <x v="0"/>
    <x v="2"/>
    <x v="0"/>
    <x v="0"/>
    <n v="3.7"/>
    <x v="5"/>
    <x v="3"/>
    <s v="Yes"/>
    <n v="1"/>
    <s v="Within 24h"/>
    <s v="Medium"/>
    <n v="1"/>
  </r>
  <r>
    <s v="Tkt-0341"/>
    <d v="2026-01-17T07:00:00"/>
    <x v="0"/>
    <x v="1"/>
    <x v="0"/>
    <x v="0"/>
    <x v="0"/>
    <n v="3.3"/>
    <x v="175"/>
    <x v="3"/>
    <s v="Yes"/>
    <n v="1"/>
    <s v="Within 24h"/>
    <s v="Medium"/>
    <n v="1"/>
  </r>
  <r>
    <s v="Tkt-0342"/>
    <d v="2025-12-31T11:00:00"/>
    <x v="1"/>
    <x v="2"/>
    <x v="0"/>
    <x v="0"/>
    <x v="0"/>
    <n v="7.2"/>
    <x v="14"/>
    <x v="2"/>
    <s v="No"/>
    <n v="0"/>
    <s v="Within 24h"/>
    <s v="Slow"/>
    <n v="1"/>
  </r>
  <r>
    <s v="Tkt-0343"/>
    <d v="2026-02-21T18:00:00"/>
    <x v="0"/>
    <x v="1"/>
    <x v="3"/>
    <x v="4"/>
    <x v="2"/>
    <n v="2.6"/>
    <x v="180"/>
    <x v="2"/>
    <s v="Yes"/>
    <n v="1"/>
    <s v="Within 24h"/>
    <s v="Medium"/>
    <n v="1"/>
  </r>
  <r>
    <s v="Tkt-0344"/>
    <d v="2026-01-06T12:00:00"/>
    <x v="0"/>
    <x v="1"/>
    <x v="1"/>
    <x v="1"/>
    <x v="0"/>
    <n v="4.3"/>
    <x v="5"/>
    <x v="3"/>
    <s v="No"/>
    <n v="0"/>
    <s v="Within 24h"/>
    <s v="Slow"/>
    <n v="1"/>
  </r>
  <r>
    <s v="Tkt-0345"/>
    <d v="2025-12-16T02:00:00"/>
    <x v="0"/>
    <x v="1"/>
    <x v="4"/>
    <x v="0"/>
    <x v="0"/>
    <n v="4.3"/>
    <x v="171"/>
    <x v="1"/>
    <s v="No"/>
    <n v="0"/>
    <s v="Within 24h"/>
    <s v="Slow"/>
    <n v="1"/>
  </r>
  <r>
    <s v="Tkt-0346"/>
    <d v="2026-02-26T06:00:00"/>
    <x v="0"/>
    <x v="0"/>
    <x v="4"/>
    <x v="1"/>
    <x v="0"/>
    <n v="2.9"/>
    <x v="98"/>
    <x v="2"/>
    <s v="Yes"/>
    <n v="1"/>
    <s v="Within 24h"/>
    <s v="Medium"/>
    <n v="1"/>
  </r>
  <r>
    <s v="Tkt-0347"/>
    <d v="2026-01-11T09:00:00"/>
    <x v="2"/>
    <x v="0"/>
    <x v="3"/>
    <x v="4"/>
    <x v="2"/>
    <n v="0.8"/>
    <x v="181"/>
    <x v="2"/>
    <s v="Yes"/>
    <n v="1"/>
    <s v="Within 24h"/>
    <s v="Fast"/>
    <n v="1"/>
  </r>
  <r>
    <s v="Tkt-0348"/>
    <d v="2026-02-28T13:00:00"/>
    <x v="0"/>
    <x v="2"/>
    <x v="4"/>
    <x v="1"/>
    <x v="0"/>
    <n v="5"/>
    <x v="116"/>
    <x v="1"/>
    <s v="No"/>
    <n v="0"/>
    <s v="Within 24h"/>
    <s v="Slow"/>
    <n v="1"/>
  </r>
  <r>
    <s v="Tkt-0349"/>
    <d v="2026-01-21T12:00:00"/>
    <x v="0"/>
    <x v="0"/>
    <x v="0"/>
    <x v="4"/>
    <x v="2"/>
    <n v="4"/>
    <x v="31"/>
    <x v="2"/>
    <s v="No"/>
    <n v="0"/>
    <s v="Within 24h"/>
    <s v="Medium"/>
    <n v="1"/>
  </r>
  <r>
    <s v="Tkt-0350"/>
    <d v="2026-01-06T07:00:00"/>
    <x v="0"/>
    <x v="2"/>
    <x v="4"/>
    <x v="4"/>
    <x v="2"/>
    <n v="5.5"/>
    <x v="167"/>
    <x v="1"/>
    <s v="No"/>
    <n v="0"/>
    <s v="Within 24h"/>
    <s v="Slow"/>
    <n v="1"/>
  </r>
  <r>
    <s v="Tkt-0351"/>
    <d v="2025-12-21T05:00:00"/>
    <x v="0"/>
    <x v="1"/>
    <x v="1"/>
    <x v="1"/>
    <x v="0"/>
    <n v="2.9"/>
    <x v="63"/>
    <x v="0"/>
    <s v="Yes"/>
    <n v="1"/>
    <s v="Within 24h"/>
    <s v="Medium"/>
    <n v="1"/>
  </r>
  <r>
    <s v="Tkt-0352"/>
    <d v="2026-01-31T09:00:00"/>
    <x v="0"/>
    <x v="1"/>
    <x v="4"/>
    <x v="0"/>
    <x v="0"/>
    <n v="7.3"/>
    <x v="182"/>
    <x v="2"/>
    <s v="No"/>
    <n v="0"/>
    <s v="Within 24h"/>
    <s v="Slow"/>
    <n v="1"/>
  </r>
  <r>
    <s v="Tkt-0353"/>
    <d v="2026-01-31T16:00:00"/>
    <x v="1"/>
    <x v="1"/>
    <x v="2"/>
    <x v="1"/>
    <x v="0"/>
    <n v="2"/>
    <x v="183"/>
    <x v="2"/>
    <s v="Yes"/>
    <n v="1"/>
    <s v="Within 24h"/>
    <s v="Medium"/>
    <n v="1"/>
  </r>
  <r>
    <s v="Tkt-0354"/>
    <d v="2026-01-04T09:00:00"/>
    <x v="2"/>
    <x v="1"/>
    <x v="4"/>
    <x v="4"/>
    <x v="2"/>
    <n v="8.5"/>
    <x v="24"/>
    <x v="0"/>
    <s v="No"/>
    <n v="0"/>
    <s v="Within 24h"/>
    <s v="Slow"/>
    <n v="1"/>
  </r>
  <r>
    <s v="Tkt-0355"/>
    <d v="2026-02-25T12:00:00"/>
    <x v="0"/>
    <x v="2"/>
    <x v="0"/>
    <x v="3"/>
    <x v="1"/>
    <n v="0.1"/>
    <x v="124"/>
    <x v="1"/>
    <s v="Yes"/>
    <n v="1"/>
    <s v="Within 24h"/>
    <s v="Fast"/>
    <n v="1"/>
  </r>
  <r>
    <s v="Tkt-0356"/>
    <d v="2026-01-16T03:00:00"/>
    <x v="2"/>
    <x v="2"/>
    <x v="1"/>
    <x v="0"/>
    <x v="0"/>
    <n v="5.3"/>
    <x v="15"/>
    <x v="2"/>
    <s v="No"/>
    <n v="0"/>
    <s v="Within 24h"/>
    <s v="Slow"/>
    <n v="1"/>
  </r>
  <r>
    <s v="Tkt-0357"/>
    <d v="2025-12-04T12:00:00"/>
    <x v="0"/>
    <x v="1"/>
    <x v="0"/>
    <x v="1"/>
    <x v="0"/>
    <n v="5.4"/>
    <x v="184"/>
    <x v="0"/>
    <s v="No"/>
    <n v="0"/>
    <s v="Within 24h"/>
    <s v="Slow"/>
    <n v="1"/>
  </r>
  <r>
    <s v="Tkt-0358"/>
    <d v="2026-02-07T10:00:00"/>
    <x v="0"/>
    <x v="0"/>
    <x v="3"/>
    <x v="0"/>
    <x v="0"/>
    <n v="2.2000000000000002"/>
    <x v="28"/>
    <x v="1"/>
    <s v="Yes"/>
    <n v="1"/>
    <s v="Within 24h"/>
    <s v="Medium"/>
    <n v="1"/>
  </r>
  <r>
    <s v="Tkt-0359"/>
    <d v="2026-02-12T05:00:00"/>
    <x v="0"/>
    <x v="1"/>
    <x v="0"/>
    <x v="0"/>
    <x v="0"/>
    <n v="5.3"/>
    <x v="148"/>
    <x v="2"/>
    <s v="No"/>
    <n v="0"/>
    <s v="Within 24h"/>
    <s v="Slow"/>
    <n v="1"/>
  </r>
  <r>
    <s v="Tkt-0360"/>
    <d v="2025-12-23T00:00:00"/>
    <x v="0"/>
    <x v="2"/>
    <x v="0"/>
    <x v="0"/>
    <x v="0"/>
    <n v="7.4"/>
    <x v="148"/>
    <x v="3"/>
    <s v="No"/>
    <n v="0"/>
    <s v="Within 24h"/>
    <s v="Slow"/>
    <n v="1"/>
  </r>
  <r>
    <s v="Tkt-0361"/>
    <d v="2026-01-09T06:00:00"/>
    <x v="0"/>
    <x v="0"/>
    <x v="3"/>
    <x v="1"/>
    <x v="0"/>
    <n v="0.1"/>
    <x v="146"/>
    <x v="0"/>
    <s v="Yes"/>
    <n v="1"/>
    <s v="Within 24h"/>
    <s v="Fast"/>
    <n v="1"/>
  </r>
  <r>
    <s v="Tkt-0362"/>
    <d v="2025-12-18T03:00:00"/>
    <x v="0"/>
    <x v="1"/>
    <x v="0"/>
    <x v="0"/>
    <x v="0"/>
    <n v="5.5"/>
    <x v="13"/>
    <x v="1"/>
    <s v="No"/>
    <n v="0"/>
    <s v="Within 24h"/>
    <s v="Slow"/>
    <n v="1"/>
  </r>
  <r>
    <s v="Tkt-0363"/>
    <d v="2026-02-25T22:00:00"/>
    <x v="0"/>
    <x v="1"/>
    <x v="3"/>
    <x v="1"/>
    <x v="0"/>
    <n v="0.1"/>
    <x v="69"/>
    <x v="3"/>
    <s v="Yes"/>
    <n v="1"/>
    <s v="Within 24h"/>
    <s v="Fast"/>
    <n v="1"/>
  </r>
  <r>
    <s v="Tkt-0364"/>
    <d v="2025-12-08T11:00:00"/>
    <x v="0"/>
    <x v="1"/>
    <x v="4"/>
    <x v="0"/>
    <x v="0"/>
    <n v="1.8"/>
    <x v="42"/>
    <x v="1"/>
    <s v="Yes"/>
    <n v="1"/>
    <s v="Within 24h"/>
    <s v="Medium"/>
    <n v="1"/>
  </r>
  <r>
    <s v="Tkt-0365"/>
    <d v="2026-02-11T10:00:00"/>
    <x v="0"/>
    <x v="0"/>
    <x v="0"/>
    <x v="0"/>
    <x v="0"/>
    <n v="8.3000000000000007"/>
    <x v="185"/>
    <x v="3"/>
    <s v="No"/>
    <n v="0"/>
    <s v="24-48h"/>
    <s v="Slow"/>
    <n v="1"/>
  </r>
  <r>
    <s v="Tkt-0366"/>
    <d v="2026-02-05T23:00:00"/>
    <x v="0"/>
    <x v="1"/>
    <x v="0"/>
    <x v="1"/>
    <x v="0"/>
    <n v="2.7"/>
    <x v="52"/>
    <x v="3"/>
    <s v="Yes"/>
    <n v="1"/>
    <s v="Within 24h"/>
    <s v="Medium"/>
    <n v="1"/>
  </r>
  <r>
    <s v="Tkt-0367"/>
    <d v="2026-01-26T12:00:00"/>
    <x v="0"/>
    <x v="2"/>
    <x v="4"/>
    <x v="1"/>
    <x v="0"/>
    <n v="1.3"/>
    <x v="163"/>
    <x v="0"/>
    <s v="Yes"/>
    <n v="1"/>
    <s v="Within 24h"/>
    <s v="Medium"/>
    <n v="1"/>
  </r>
  <r>
    <s v="Tkt-0368"/>
    <d v="2026-01-18T18:00:00"/>
    <x v="1"/>
    <x v="0"/>
    <x v="3"/>
    <x v="4"/>
    <x v="2"/>
    <n v="3.7"/>
    <x v="186"/>
    <x v="0"/>
    <s v="Yes"/>
    <n v="1"/>
    <s v="Within 24h"/>
    <s v="Medium"/>
    <n v="1"/>
  </r>
  <r>
    <s v="Tkt-0369"/>
    <d v="2026-01-01T14:00:00"/>
    <x v="2"/>
    <x v="0"/>
    <x v="4"/>
    <x v="0"/>
    <x v="0"/>
    <n v="9.4"/>
    <x v="78"/>
    <x v="3"/>
    <s v="No"/>
    <n v="0"/>
    <s v="Within 24h"/>
    <s v="Slow"/>
    <n v="1"/>
  </r>
  <r>
    <s v="Tkt-0370"/>
    <d v="2026-01-16T12:00:00"/>
    <x v="1"/>
    <x v="2"/>
    <x v="4"/>
    <x v="4"/>
    <x v="2"/>
    <n v="0.1"/>
    <x v="123"/>
    <x v="0"/>
    <s v="Yes"/>
    <n v="1"/>
    <s v="Within 24h"/>
    <s v="Fast"/>
    <n v="1"/>
  </r>
  <r>
    <s v="Tkt-0371"/>
    <d v="2026-01-24T11:00:00"/>
    <x v="2"/>
    <x v="0"/>
    <x v="2"/>
    <x v="0"/>
    <x v="0"/>
    <n v="1.6"/>
    <x v="136"/>
    <x v="1"/>
    <s v="Yes"/>
    <n v="1"/>
    <s v="Within 24h"/>
    <s v="Medium"/>
    <n v="1"/>
  </r>
  <r>
    <s v="Tkt-0372"/>
    <d v="2026-01-27T22:00:00"/>
    <x v="1"/>
    <x v="2"/>
    <x v="4"/>
    <x v="1"/>
    <x v="0"/>
    <n v="7.9"/>
    <x v="67"/>
    <x v="2"/>
    <s v="No"/>
    <n v="0"/>
    <s v="Within 24h"/>
    <s v="Slow"/>
    <n v="1"/>
  </r>
  <r>
    <s v="Tkt-0373"/>
    <d v="2025-12-31T00:00:00"/>
    <x v="0"/>
    <x v="1"/>
    <x v="3"/>
    <x v="0"/>
    <x v="0"/>
    <n v="8.8000000000000007"/>
    <x v="157"/>
    <x v="1"/>
    <s v="No"/>
    <n v="0"/>
    <s v="Within 24h"/>
    <s v="Slow"/>
    <n v="1"/>
  </r>
  <r>
    <s v="Tkt-0374"/>
    <d v="2025-12-21T23:00:00"/>
    <x v="2"/>
    <x v="0"/>
    <x v="4"/>
    <x v="0"/>
    <x v="0"/>
    <n v="3.9"/>
    <x v="42"/>
    <x v="3"/>
    <s v="Yes"/>
    <n v="1"/>
    <s v="Within 24h"/>
    <s v="Medium"/>
    <n v="1"/>
  </r>
  <r>
    <s v="Tkt-0375"/>
    <d v="2026-01-15T17:00:00"/>
    <x v="0"/>
    <x v="2"/>
    <x v="0"/>
    <x v="0"/>
    <x v="0"/>
    <n v="1.1000000000000001"/>
    <x v="147"/>
    <x v="1"/>
    <s v="Yes"/>
    <n v="1"/>
    <s v="Within 24h"/>
    <s v="Medium"/>
    <n v="1"/>
  </r>
  <r>
    <s v="Tkt-0376"/>
    <d v="2025-12-07T22:00:00"/>
    <x v="0"/>
    <x v="1"/>
    <x v="3"/>
    <x v="0"/>
    <x v="0"/>
    <n v="9.4"/>
    <x v="104"/>
    <x v="3"/>
    <s v="No"/>
    <n v="0"/>
    <s v="Within 24h"/>
    <s v="Slow"/>
    <n v="1"/>
  </r>
  <r>
    <s v="Tkt-0377"/>
    <d v="2025-12-07T23:00:00"/>
    <x v="2"/>
    <x v="1"/>
    <x v="2"/>
    <x v="4"/>
    <x v="2"/>
    <n v="8.1999999999999993"/>
    <x v="187"/>
    <x v="1"/>
    <s v="No"/>
    <n v="0"/>
    <s v="Within 24h"/>
    <s v="Slow"/>
    <n v="1"/>
  </r>
  <r>
    <s v="Tkt-0378"/>
    <d v="2026-02-25T17:00:00"/>
    <x v="0"/>
    <x v="0"/>
    <x v="3"/>
    <x v="3"/>
    <x v="1"/>
    <n v="5.9"/>
    <x v="70"/>
    <x v="1"/>
    <s v="No"/>
    <n v="0"/>
    <s v="Within 24h"/>
    <s v="Slow"/>
    <n v="1"/>
  </r>
  <r>
    <s v="Tkt-0379"/>
    <d v="2026-02-04T00:00:00"/>
    <x v="0"/>
    <x v="1"/>
    <x v="2"/>
    <x v="0"/>
    <x v="0"/>
    <n v="2.2000000000000002"/>
    <x v="8"/>
    <x v="0"/>
    <s v="Yes"/>
    <n v="1"/>
    <s v="Within 24h"/>
    <s v="Medium"/>
    <n v="1"/>
  </r>
  <r>
    <s v="Tkt-0380"/>
    <d v="2025-12-11T20:00:00"/>
    <x v="1"/>
    <x v="0"/>
    <x v="2"/>
    <x v="1"/>
    <x v="0"/>
    <n v="4.0999999999999996"/>
    <x v="188"/>
    <x v="3"/>
    <s v="No"/>
    <n v="0"/>
    <s v="Within 24h"/>
    <s v="Slow"/>
    <n v="1"/>
  </r>
  <r>
    <s v="Tkt-0381"/>
    <d v="2026-01-29T20:00:00"/>
    <x v="0"/>
    <x v="0"/>
    <x v="2"/>
    <x v="1"/>
    <x v="0"/>
    <n v="3.8"/>
    <x v="78"/>
    <x v="3"/>
    <s v="Yes"/>
    <n v="1"/>
    <s v="Within 24h"/>
    <s v="Medium"/>
    <n v="1"/>
  </r>
  <r>
    <s v="Tkt-0382"/>
    <d v="2025-12-30T03:00:00"/>
    <x v="0"/>
    <x v="2"/>
    <x v="1"/>
    <x v="3"/>
    <x v="1"/>
    <n v="5"/>
    <x v="189"/>
    <x v="2"/>
    <s v="No"/>
    <n v="0"/>
    <s v="Within 24h"/>
    <s v="Slow"/>
    <n v="1"/>
  </r>
  <r>
    <s v="Tkt-0383"/>
    <d v="2026-02-14T06:00:00"/>
    <x v="0"/>
    <x v="0"/>
    <x v="3"/>
    <x v="1"/>
    <x v="0"/>
    <n v="7.8"/>
    <x v="121"/>
    <x v="1"/>
    <s v="No"/>
    <n v="0"/>
    <s v="24-48h"/>
    <s v="Slow"/>
    <n v="1"/>
  </r>
  <r>
    <s v="Tkt-0384"/>
    <d v="2026-02-01T10:00:00"/>
    <x v="0"/>
    <x v="1"/>
    <x v="3"/>
    <x v="3"/>
    <x v="1"/>
    <n v="6.4"/>
    <x v="5"/>
    <x v="1"/>
    <s v="No"/>
    <n v="0"/>
    <s v="Within 24h"/>
    <s v="Slow"/>
    <n v="1"/>
  </r>
  <r>
    <s v="Tkt-0385"/>
    <d v="2025-12-01T16:00:00"/>
    <x v="0"/>
    <x v="0"/>
    <x v="4"/>
    <x v="0"/>
    <x v="0"/>
    <n v="1.5"/>
    <x v="86"/>
    <x v="2"/>
    <s v="Yes"/>
    <n v="1"/>
    <s v="Within 24h"/>
    <s v="Medium"/>
    <n v="1"/>
  </r>
  <r>
    <s v="Tkt-0386"/>
    <d v="2026-01-12T19:00:00"/>
    <x v="0"/>
    <x v="2"/>
    <x v="3"/>
    <x v="4"/>
    <x v="2"/>
    <n v="7.6"/>
    <x v="181"/>
    <x v="3"/>
    <s v="No"/>
    <n v="0"/>
    <s v="Within 24h"/>
    <s v="Slow"/>
    <n v="1"/>
  </r>
  <r>
    <s v="Tkt-0387"/>
    <d v="2025-12-13T05:00:00"/>
    <x v="1"/>
    <x v="0"/>
    <x v="4"/>
    <x v="0"/>
    <x v="0"/>
    <n v="5"/>
    <x v="129"/>
    <x v="1"/>
    <s v="No"/>
    <n v="0"/>
    <s v="Within 24h"/>
    <s v="Slow"/>
    <n v="1"/>
  </r>
  <r>
    <s v="Tkt-0388"/>
    <d v="2026-02-14T19:00:00"/>
    <x v="0"/>
    <x v="2"/>
    <x v="4"/>
    <x v="3"/>
    <x v="1"/>
    <n v="5.9"/>
    <x v="85"/>
    <x v="2"/>
    <s v="No"/>
    <n v="0"/>
    <s v="Within 24h"/>
    <s v="Slow"/>
    <n v="1"/>
  </r>
  <r>
    <s v="Tkt-0389"/>
    <d v="2026-01-20T21:00:00"/>
    <x v="0"/>
    <x v="1"/>
    <x v="4"/>
    <x v="0"/>
    <x v="0"/>
    <n v="7.9"/>
    <x v="29"/>
    <x v="2"/>
    <s v="No"/>
    <n v="0"/>
    <s v="Within 24h"/>
    <s v="Slow"/>
    <n v="1"/>
  </r>
  <r>
    <s v="Tkt-0390"/>
    <d v="2025-12-17T00:00:00"/>
    <x v="0"/>
    <x v="0"/>
    <x v="3"/>
    <x v="1"/>
    <x v="0"/>
    <n v="1.4"/>
    <x v="171"/>
    <x v="2"/>
    <s v="Yes"/>
    <n v="1"/>
    <s v="Within 24h"/>
    <s v="Medium"/>
    <n v="1"/>
  </r>
  <r>
    <s v="Tkt-0391"/>
    <d v="2026-01-20T06:00:00"/>
    <x v="0"/>
    <x v="0"/>
    <x v="0"/>
    <x v="0"/>
    <x v="0"/>
    <n v="4.0999999999999996"/>
    <x v="188"/>
    <x v="1"/>
    <s v="No"/>
    <n v="0"/>
    <s v="Within 24h"/>
    <s v="Slow"/>
    <n v="1"/>
  </r>
  <r>
    <s v="Tkt-0392"/>
    <d v="2025-12-04T12:00:00"/>
    <x v="0"/>
    <x v="0"/>
    <x v="3"/>
    <x v="0"/>
    <x v="0"/>
    <n v="2.9"/>
    <x v="190"/>
    <x v="3"/>
    <s v="Yes"/>
    <n v="1"/>
    <s v="Within 24h"/>
    <s v="Medium"/>
    <n v="1"/>
  </r>
  <r>
    <s v="Tkt-0393"/>
    <d v="2026-01-09T02:00:00"/>
    <x v="0"/>
    <x v="1"/>
    <x v="0"/>
    <x v="1"/>
    <x v="0"/>
    <n v="0.3"/>
    <x v="145"/>
    <x v="3"/>
    <s v="Yes"/>
    <n v="1"/>
    <s v="Within 24h"/>
    <s v="Fast"/>
    <n v="1"/>
  </r>
  <r>
    <s v="Tkt-0394"/>
    <d v="2026-02-03T22:00:00"/>
    <x v="0"/>
    <x v="0"/>
    <x v="2"/>
    <x v="0"/>
    <x v="0"/>
    <n v="5.0999999999999996"/>
    <x v="152"/>
    <x v="2"/>
    <s v="No"/>
    <n v="0"/>
    <s v="Within 24h"/>
    <s v="Slow"/>
    <n v="1"/>
  </r>
  <r>
    <s v="Tkt-0395"/>
    <d v="2025-12-15T02:00:00"/>
    <x v="0"/>
    <x v="2"/>
    <x v="3"/>
    <x v="0"/>
    <x v="0"/>
    <n v="10.5"/>
    <x v="14"/>
    <x v="2"/>
    <s v="No"/>
    <n v="0"/>
    <s v="Within 24h"/>
    <s v="Slow"/>
    <n v="1"/>
  </r>
  <r>
    <s v="Tkt-0396"/>
    <d v="2025-12-10T17:00:00"/>
    <x v="0"/>
    <x v="1"/>
    <x v="0"/>
    <x v="0"/>
    <x v="0"/>
    <n v="0.1"/>
    <x v="63"/>
    <x v="3"/>
    <s v="Yes"/>
    <n v="1"/>
    <s v="Within 24h"/>
    <s v="Fast"/>
    <n v="1"/>
  </r>
  <r>
    <s v="Tkt-0397"/>
    <d v="2026-02-15T02:00:00"/>
    <x v="0"/>
    <x v="0"/>
    <x v="0"/>
    <x v="0"/>
    <x v="0"/>
    <n v="4.0999999999999996"/>
    <x v="8"/>
    <x v="2"/>
    <s v="No"/>
    <n v="0"/>
    <s v="Within 24h"/>
    <s v="Slow"/>
    <n v="1"/>
  </r>
  <r>
    <s v="Tkt-0398"/>
    <d v="2026-01-21T03:00:00"/>
    <x v="0"/>
    <x v="1"/>
    <x v="4"/>
    <x v="4"/>
    <x v="2"/>
    <n v="5.8"/>
    <x v="191"/>
    <x v="2"/>
    <s v="No"/>
    <n v="0"/>
    <s v="Within 24h"/>
    <s v="Slow"/>
    <n v="1"/>
  </r>
  <r>
    <s v="Tkt-0399"/>
    <d v="2025-12-14T21:00:00"/>
    <x v="0"/>
    <x v="1"/>
    <x v="4"/>
    <x v="0"/>
    <x v="0"/>
    <n v="4.5"/>
    <x v="26"/>
    <x v="3"/>
    <s v="No"/>
    <n v="0"/>
    <s v="Within 24h"/>
    <s v="Slow"/>
    <n v="1"/>
  </r>
  <r>
    <s v="Tkt-0400"/>
    <d v="2025-12-18T23:00:00"/>
    <x v="1"/>
    <x v="0"/>
    <x v="3"/>
    <x v="3"/>
    <x v="1"/>
    <n v="3.9"/>
    <x v="45"/>
    <x v="1"/>
    <s v="Yes"/>
    <n v="1"/>
    <s v="Within 24h"/>
    <s v="Medium"/>
    <n v="1"/>
  </r>
  <r>
    <s v="Tkt-0401"/>
    <d v="2026-01-15T07:00:00"/>
    <x v="0"/>
    <x v="0"/>
    <x v="0"/>
    <x v="3"/>
    <x v="1"/>
    <n v="1"/>
    <x v="138"/>
    <x v="2"/>
    <s v="Yes"/>
    <n v="1"/>
    <s v="Within 24h"/>
    <s v="Fast"/>
    <n v="1"/>
  </r>
  <r>
    <s v="Tkt-0402"/>
    <d v="2026-01-05T03:00:00"/>
    <x v="0"/>
    <x v="0"/>
    <x v="3"/>
    <x v="0"/>
    <x v="0"/>
    <n v="4.8"/>
    <x v="84"/>
    <x v="1"/>
    <s v="No"/>
    <n v="0"/>
    <s v="Within 24h"/>
    <s v="Slow"/>
    <n v="1"/>
  </r>
  <r>
    <s v="Tkt-0403"/>
    <d v="2026-01-12T22:00:00"/>
    <x v="0"/>
    <x v="1"/>
    <x v="3"/>
    <x v="1"/>
    <x v="0"/>
    <n v="2.2999999999999998"/>
    <x v="192"/>
    <x v="2"/>
    <s v="Yes"/>
    <n v="1"/>
    <s v="24-48h"/>
    <s v="Medium"/>
    <n v="1"/>
  </r>
  <r>
    <s v="Tkt-0404"/>
    <d v="2025-12-26T04:00:00"/>
    <x v="0"/>
    <x v="1"/>
    <x v="4"/>
    <x v="0"/>
    <x v="0"/>
    <n v="0.1"/>
    <x v="146"/>
    <x v="2"/>
    <s v="Yes"/>
    <n v="1"/>
    <s v="Within 24h"/>
    <s v="Fast"/>
    <n v="1"/>
  </r>
  <r>
    <s v="Tkt-0405"/>
    <d v="2026-01-17T00:00:00"/>
    <x v="0"/>
    <x v="1"/>
    <x v="4"/>
    <x v="0"/>
    <x v="0"/>
    <n v="7.2"/>
    <x v="127"/>
    <x v="2"/>
    <s v="No"/>
    <n v="0"/>
    <s v="Within 24h"/>
    <s v="Slow"/>
    <n v="1"/>
  </r>
  <r>
    <s v="Tkt-0406"/>
    <d v="2026-01-06T09:00:00"/>
    <x v="0"/>
    <x v="2"/>
    <x v="3"/>
    <x v="0"/>
    <x v="0"/>
    <n v="6.6"/>
    <x v="193"/>
    <x v="0"/>
    <s v="No"/>
    <n v="0"/>
    <s v="Within 24h"/>
    <s v="Slow"/>
    <n v="1"/>
  </r>
  <r>
    <s v="Tkt-0407"/>
    <d v="2026-02-15T11:00:00"/>
    <x v="2"/>
    <x v="2"/>
    <x v="0"/>
    <x v="0"/>
    <x v="0"/>
    <n v="4.3"/>
    <x v="170"/>
    <x v="1"/>
    <s v="No"/>
    <n v="0"/>
    <s v="Within 24h"/>
    <s v="Slow"/>
    <n v="1"/>
  </r>
  <r>
    <s v="Tkt-0408"/>
    <d v="2026-01-13T04:00:00"/>
    <x v="0"/>
    <x v="1"/>
    <x v="1"/>
    <x v="4"/>
    <x v="2"/>
    <n v="4.8"/>
    <x v="50"/>
    <x v="1"/>
    <s v="No"/>
    <n v="0"/>
    <s v="Within 24h"/>
    <s v="Slow"/>
    <n v="1"/>
  </r>
  <r>
    <s v="Tkt-0409"/>
    <d v="2026-01-01T02:00:00"/>
    <x v="1"/>
    <x v="2"/>
    <x v="3"/>
    <x v="3"/>
    <x v="1"/>
    <n v="6.9"/>
    <x v="194"/>
    <x v="2"/>
    <s v="No"/>
    <n v="0"/>
    <s v="Within 24h"/>
    <s v="Slow"/>
    <n v="1"/>
  </r>
  <r>
    <s v="Tkt-0410"/>
    <d v="2026-02-09T11:00:00"/>
    <x v="0"/>
    <x v="0"/>
    <x v="4"/>
    <x v="1"/>
    <x v="0"/>
    <n v="4.8"/>
    <x v="62"/>
    <x v="3"/>
    <s v="No"/>
    <n v="0"/>
    <s v="24-48h"/>
    <s v="Slow"/>
    <n v="1"/>
  </r>
  <r>
    <s v="Tkt-0411"/>
    <d v="2026-02-06T01:00:00"/>
    <x v="0"/>
    <x v="0"/>
    <x v="0"/>
    <x v="4"/>
    <x v="2"/>
    <n v="6.5"/>
    <x v="2"/>
    <x v="2"/>
    <s v="No"/>
    <n v="0"/>
    <s v="Within 24h"/>
    <s v="Slow"/>
    <n v="1"/>
  </r>
  <r>
    <s v="Tkt-0412"/>
    <d v="2025-12-24T04:00:00"/>
    <x v="0"/>
    <x v="0"/>
    <x v="3"/>
    <x v="2"/>
    <x v="1"/>
    <n v="3.5"/>
    <x v="86"/>
    <x v="0"/>
    <s v="Yes"/>
    <n v="1"/>
    <s v="Within 24h"/>
    <s v="Medium"/>
    <n v="1"/>
  </r>
  <r>
    <s v="Tkt-0413"/>
    <d v="2026-01-25T05:00:00"/>
    <x v="0"/>
    <x v="0"/>
    <x v="0"/>
    <x v="1"/>
    <x v="0"/>
    <n v="7.5"/>
    <x v="8"/>
    <x v="2"/>
    <s v="No"/>
    <n v="0"/>
    <s v="Within 24h"/>
    <s v="Slow"/>
    <n v="1"/>
  </r>
  <r>
    <s v="Tkt-0414"/>
    <d v="2025-12-22T09:00:00"/>
    <x v="0"/>
    <x v="1"/>
    <x v="3"/>
    <x v="0"/>
    <x v="0"/>
    <n v="5"/>
    <x v="195"/>
    <x v="0"/>
    <s v="No"/>
    <n v="0"/>
    <s v="Within 24h"/>
    <s v="Slow"/>
    <n v="1"/>
  </r>
  <r>
    <s v="Tkt-0415"/>
    <d v="2025-12-31T11:00:00"/>
    <x v="0"/>
    <x v="2"/>
    <x v="1"/>
    <x v="0"/>
    <x v="0"/>
    <n v="4.7"/>
    <x v="24"/>
    <x v="2"/>
    <s v="No"/>
    <n v="0"/>
    <s v="Within 24h"/>
    <s v="Slow"/>
    <n v="1"/>
  </r>
  <r>
    <s v="Tkt-0416"/>
    <d v="2025-12-15T16:00:00"/>
    <x v="0"/>
    <x v="0"/>
    <x v="3"/>
    <x v="1"/>
    <x v="0"/>
    <n v="1"/>
    <x v="196"/>
    <x v="1"/>
    <s v="Yes"/>
    <n v="1"/>
    <s v="Within 24h"/>
    <s v="Fast"/>
    <n v="1"/>
  </r>
  <r>
    <s v="Tkt-0417"/>
    <d v="2026-01-18T17:00:00"/>
    <x v="0"/>
    <x v="0"/>
    <x v="0"/>
    <x v="0"/>
    <x v="0"/>
    <n v="4.9000000000000004"/>
    <x v="188"/>
    <x v="2"/>
    <s v="No"/>
    <n v="0"/>
    <s v="Within 24h"/>
    <s v="Slow"/>
    <n v="1"/>
  </r>
  <r>
    <s v="Tkt-0418"/>
    <d v="2026-02-17T16:00:00"/>
    <x v="0"/>
    <x v="1"/>
    <x v="0"/>
    <x v="4"/>
    <x v="2"/>
    <n v="2.1"/>
    <x v="59"/>
    <x v="1"/>
    <s v="Yes"/>
    <n v="1"/>
    <s v="Within 24h"/>
    <s v="Medium"/>
    <n v="1"/>
  </r>
  <r>
    <s v="Tkt-0419"/>
    <d v="2026-01-02T17:00:00"/>
    <x v="0"/>
    <x v="2"/>
    <x v="3"/>
    <x v="2"/>
    <x v="1"/>
    <n v="2.6"/>
    <x v="197"/>
    <x v="3"/>
    <s v="Yes"/>
    <n v="1"/>
    <s v="24-48h"/>
    <s v="Medium"/>
    <n v="1"/>
  </r>
  <r>
    <s v="Tkt-0420"/>
    <d v="2025-12-31T06:00:00"/>
    <x v="0"/>
    <x v="0"/>
    <x v="0"/>
    <x v="0"/>
    <x v="0"/>
    <n v="2.2000000000000002"/>
    <x v="125"/>
    <x v="3"/>
    <s v="Yes"/>
    <n v="1"/>
    <s v="Within 24h"/>
    <s v="Medium"/>
    <n v="1"/>
  </r>
  <r>
    <s v="Tkt-0421"/>
    <d v="2025-12-12T03:00:00"/>
    <x v="0"/>
    <x v="1"/>
    <x v="0"/>
    <x v="0"/>
    <x v="0"/>
    <n v="1.5"/>
    <x v="145"/>
    <x v="2"/>
    <s v="Yes"/>
    <n v="1"/>
    <s v="Within 24h"/>
    <s v="Medium"/>
    <n v="1"/>
  </r>
  <r>
    <s v="Tkt-0422"/>
    <d v="2026-01-11T14:00:00"/>
    <x v="1"/>
    <x v="0"/>
    <x v="2"/>
    <x v="0"/>
    <x v="0"/>
    <n v="9.5"/>
    <x v="70"/>
    <x v="2"/>
    <s v="No"/>
    <n v="0"/>
    <s v="Within 24h"/>
    <s v="Slow"/>
    <n v="1"/>
  </r>
  <r>
    <s v="Tkt-0423"/>
    <d v="2026-02-25T09:00:00"/>
    <x v="0"/>
    <x v="0"/>
    <x v="3"/>
    <x v="3"/>
    <x v="1"/>
    <n v="7.5"/>
    <x v="38"/>
    <x v="3"/>
    <s v="No"/>
    <n v="0"/>
    <s v="Within 24h"/>
    <s v="Slow"/>
    <n v="1"/>
  </r>
  <r>
    <s v="Tkt-0424"/>
    <d v="2026-01-18T19:00:00"/>
    <x v="2"/>
    <x v="2"/>
    <x v="0"/>
    <x v="0"/>
    <x v="0"/>
    <n v="9"/>
    <x v="51"/>
    <x v="0"/>
    <s v="No"/>
    <n v="0"/>
    <s v="Within 24h"/>
    <s v="Slow"/>
    <n v="1"/>
  </r>
  <r>
    <s v="Tkt-0425"/>
    <d v="2025-12-28T18:00:00"/>
    <x v="0"/>
    <x v="2"/>
    <x v="1"/>
    <x v="0"/>
    <x v="0"/>
    <n v="1.1000000000000001"/>
    <x v="193"/>
    <x v="3"/>
    <s v="Yes"/>
    <n v="1"/>
    <s v="Within 24h"/>
    <s v="Medium"/>
    <n v="1"/>
  </r>
  <r>
    <s v="Tkt-0426"/>
    <d v="2026-01-14T16:00:00"/>
    <x v="0"/>
    <x v="0"/>
    <x v="0"/>
    <x v="0"/>
    <x v="0"/>
    <n v="4.4000000000000004"/>
    <x v="198"/>
    <x v="3"/>
    <s v="No"/>
    <n v="0"/>
    <s v="Within 24h"/>
    <s v="Slow"/>
    <n v="1"/>
  </r>
  <r>
    <s v="Tkt-0427"/>
    <d v="2026-01-16T16:00:00"/>
    <x v="0"/>
    <x v="2"/>
    <x v="1"/>
    <x v="0"/>
    <x v="0"/>
    <n v="1"/>
    <x v="168"/>
    <x v="0"/>
    <s v="Yes"/>
    <n v="1"/>
    <s v="Within 24h"/>
    <s v="Fast"/>
    <n v="1"/>
  </r>
  <r>
    <s v="Tkt-0428"/>
    <d v="2025-12-14T02:00:00"/>
    <x v="0"/>
    <x v="1"/>
    <x v="3"/>
    <x v="0"/>
    <x v="0"/>
    <n v="2.5"/>
    <x v="122"/>
    <x v="3"/>
    <s v="Yes"/>
    <n v="1"/>
    <s v="Within 24h"/>
    <s v="Medium"/>
    <n v="1"/>
  </r>
  <r>
    <s v="Tkt-0429"/>
    <d v="2026-01-24T07:00:00"/>
    <x v="1"/>
    <x v="2"/>
    <x v="2"/>
    <x v="0"/>
    <x v="0"/>
    <n v="1.9"/>
    <x v="80"/>
    <x v="3"/>
    <s v="Yes"/>
    <n v="1"/>
    <s v="Within 24h"/>
    <s v="Medium"/>
    <n v="1"/>
  </r>
  <r>
    <s v="Tkt-0430"/>
    <d v="2026-02-27T08:00:00"/>
    <x v="1"/>
    <x v="1"/>
    <x v="4"/>
    <x v="0"/>
    <x v="0"/>
    <n v="7.3"/>
    <x v="92"/>
    <x v="0"/>
    <s v="No"/>
    <n v="0"/>
    <s v="Within 24h"/>
    <s v="Slow"/>
    <n v="1"/>
  </r>
  <r>
    <s v="Tkt-0431"/>
    <d v="2026-02-04T22:00:00"/>
    <x v="0"/>
    <x v="1"/>
    <x v="2"/>
    <x v="0"/>
    <x v="0"/>
    <n v="3.2"/>
    <x v="84"/>
    <x v="0"/>
    <s v="Yes"/>
    <n v="1"/>
    <s v="Within 24h"/>
    <s v="Medium"/>
    <n v="1"/>
  </r>
  <r>
    <s v="Tkt-0432"/>
    <d v="2026-01-29T01:00:00"/>
    <x v="0"/>
    <x v="1"/>
    <x v="1"/>
    <x v="0"/>
    <x v="0"/>
    <n v="6.9"/>
    <x v="58"/>
    <x v="1"/>
    <s v="No"/>
    <n v="0"/>
    <s v="Within 24h"/>
    <s v="Slow"/>
    <n v="1"/>
  </r>
  <r>
    <s v="Tkt-0433"/>
    <d v="2026-01-07T09:00:00"/>
    <x v="1"/>
    <x v="1"/>
    <x v="0"/>
    <x v="1"/>
    <x v="0"/>
    <n v="5.7"/>
    <x v="91"/>
    <x v="2"/>
    <s v="No"/>
    <n v="0"/>
    <s v="Within 24h"/>
    <s v="Slow"/>
    <n v="1"/>
  </r>
  <r>
    <s v="Tkt-0434"/>
    <d v="2025-12-19T17:00:00"/>
    <x v="1"/>
    <x v="0"/>
    <x v="1"/>
    <x v="0"/>
    <x v="0"/>
    <n v="10"/>
    <x v="161"/>
    <x v="1"/>
    <s v="No"/>
    <n v="0"/>
    <s v="Within 24h"/>
    <s v="Slow"/>
    <n v="1"/>
  </r>
  <r>
    <s v="Tkt-0435"/>
    <d v="2025-12-02T09:00:00"/>
    <x v="0"/>
    <x v="0"/>
    <x v="3"/>
    <x v="1"/>
    <x v="0"/>
    <n v="0.5"/>
    <x v="5"/>
    <x v="0"/>
    <s v="Yes"/>
    <n v="1"/>
    <s v="Within 24h"/>
    <s v="Fast"/>
    <n v="1"/>
  </r>
  <r>
    <s v="Tkt-0436"/>
    <d v="2025-12-08T02:00:00"/>
    <x v="2"/>
    <x v="0"/>
    <x v="3"/>
    <x v="4"/>
    <x v="2"/>
    <n v="7.3"/>
    <x v="17"/>
    <x v="3"/>
    <s v="No"/>
    <n v="0"/>
    <s v="Within 24h"/>
    <s v="Slow"/>
    <n v="1"/>
  </r>
  <r>
    <s v="Tkt-0437"/>
    <d v="2025-12-28T10:00:00"/>
    <x v="0"/>
    <x v="1"/>
    <x v="3"/>
    <x v="0"/>
    <x v="0"/>
    <n v="7.1"/>
    <x v="67"/>
    <x v="0"/>
    <s v="No"/>
    <n v="0"/>
    <s v="Within 24h"/>
    <s v="Slow"/>
    <n v="1"/>
  </r>
  <r>
    <s v="Tkt-0438"/>
    <d v="2026-02-26T22:00:00"/>
    <x v="0"/>
    <x v="0"/>
    <x v="3"/>
    <x v="0"/>
    <x v="0"/>
    <n v="1.8"/>
    <x v="160"/>
    <x v="3"/>
    <s v="Yes"/>
    <n v="1"/>
    <s v="Within 24h"/>
    <s v="Medium"/>
    <n v="1"/>
  </r>
  <r>
    <s v="Tkt-0439"/>
    <d v="2026-01-22T17:00:00"/>
    <x v="1"/>
    <x v="1"/>
    <x v="0"/>
    <x v="0"/>
    <x v="0"/>
    <n v="6.7"/>
    <x v="32"/>
    <x v="1"/>
    <s v="No"/>
    <n v="0"/>
    <s v="Within 24h"/>
    <s v="Slow"/>
    <n v="1"/>
  </r>
  <r>
    <s v="Tkt-0440"/>
    <d v="2026-01-08T02:00:00"/>
    <x v="1"/>
    <x v="2"/>
    <x v="4"/>
    <x v="1"/>
    <x v="0"/>
    <n v="5"/>
    <x v="56"/>
    <x v="1"/>
    <s v="No"/>
    <n v="0"/>
    <s v="Within 24h"/>
    <s v="Slow"/>
    <n v="1"/>
  </r>
  <r>
    <s v="Tkt-0441"/>
    <d v="2026-01-28T15:00:00"/>
    <x v="0"/>
    <x v="0"/>
    <x v="3"/>
    <x v="1"/>
    <x v="0"/>
    <n v="3.6"/>
    <x v="199"/>
    <x v="1"/>
    <s v="Yes"/>
    <n v="1"/>
    <s v="Within 24h"/>
    <s v="Medium"/>
    <n v="1"/>
  </r>
  <r>
    <s v="Tkt-0442"/>
    <d v="2025-12-06T06:00:00"/>
    <x v="0"/>
    <x v="1"/>
    <x v="2"/>
    <x v="4"/>
    <x v="2"/>
    <n v="2.1"/>
    <x v="98"/>
    <x v="3"/>
    <s v="Yes"/>
    <n v="1"/>
    <s v="Within 24h"/>
    <s v="Medium"/>
    <n v="1"/>
  </r>
  <r>
    <s v="Tkt-0443"/>
    <d v="2026-01-12T09:00:00"/>
    <x v="0"/>
    <x v="1"/>
    <x v="2"/>
    <x v="0"/>
    <x v="0"/>
    <n v="2.4"/>
    <x v="120"/>
    <x v="2"/>
    <s v="Yes"/>
    <n v="1"/>
    <s v="Within 24h"/>
    <s v="Medium"/>
    <n v="1"/>
  </r>
  <r>
    <s v="Tkt-0444"/>
    <d v="2025-12-20T08:00:00"/>
    <x v="0"/>
    <x v="2"/>
    <x v="3"/>
    <x v="0"/>
    <x v="0"/>
    <n v="9.3000000000000007"/>
    <x v="200"/>
    <x v="2"/>
    <s v="No"/>
    <n v="0"/>
    <s v="24-48h"/>
    <s v="Slow"/>
    <n v="1"/>
  </r>
  <r>
    <s v="Tkt-0445"/>
    <d v="2026-01-15T11:00:00"/>
    <x v="0"/>
    <x v="0"/>
    <x v="3"/>
    <x v="0"/>
    <x v="0"/>
    <n v="4.2"/>
    <x v="199"/>
    <x v="2"/>
    <s v="No"/>
    <n v="0"/>
    <s v="Within 24h"/>
    <s v="Slow"/>
    <n v="1"/>
  </r>
  <r>
    <s v="Tkt-0446"/>
    <d v="2025-12-20T14:00:00"/>
    <x v="0"/>
    <x v="1"/>
    <x v="0"/>
    <x v="0"/>
    <x v="0"/>
    <n v="6.2"/>
    <x v="37"/>
    <x v="0"/>
    <s v="No"/>
    <n v="0"/>
    <s v="Within 24h"/>
    <s v="Slow"/>
    <n v="1"/>
  </r>
  <r>
    <s v="Tkt-0447"/>
    <d v="2026-01-14T02:00:00"/>
    <x v="0"/>
    <x v="2"/>
    <x v="0"/>
    <x v="0"/>
    <x v="0"/>
    <n v="2.2000000000000002"/>
    <x v="9"/>
    <x v="0"/>
    <s v="Yes"/>
    <n v="1"/>
    <s v="Within 24h"/>
    <s v="Medium"/>
    <n v="1"/>
  </r>
  <r>
    <s v="Tkt-0448"/>
    <d v="2026-01-01T16:00:00"/>
    <x v="0"/>
    <x v="2"/>
    <x v="0"/>
    <x v="0"/>
    <x v="0"/>
    <n v="2.2999999999999998"/>
    <x v="61"/>
    <x v="3"/>
    <s v="Yes"/>
    <n v="1"/>
    <s v="Within 24h"/>
    <s v="Medium"/>
    <n v="1"/>
  </r>
  <r>
    <s v="Tkt-0449"/>
    <d v="2026-01-20T16:00:00"/>
    <x v="1"/>
    <x v="1"/>
    <x v="3"/>
    <x v="3"/>
    <x v="1"/>
    <n v="6.9"/>
    <x v="16"/>
    <x v="0"/>
    <s v="No"/>
    <n v="0"/>
    <s v="Within 24h"/>
    <s v="Slow"/>
    <n v="1"/>
  </r>
  <r>
    <s v="Tkt-0450"/>
    <d v="2026-01-30T21:00:00"/>
    <x v="0"/>
    <x v="1"/>
    <x v="0"/>
    <x v="1"/>
    <x v="0"/>
    <n v="0.8"/>
    <x v="116"/>
    <x v="3"/>
    <s v="Yes"/>
    <n v="1"/>
    <s v="Within 24h"/>
    <s v="Fast"/>
    <n v="1"/>
  </r>
  <r>
    <s v="Tkt-0451"/>
    <d v="2026-02-04T14:00:00"/>
    <x v="0"/>
    <x v="1"/>
    <x v="1"/>
    <x v="0"/>
    <x v="0"/>
    <n v="3.2"/>
    <x v="72"/>
    <x v="1"/>
    <s v="Yes"/>
    <n v="1"/>
    <s v="Within 24h"/>
    <s v="Medium"/>
    <n v="1"/>
  </r>
  <r>
    <s v="Tkt-0452"/>
    <d v="2026-02-13T01:00:00"/>
    <x v="0"/>
    <x v="2"/>
    <x v="4"/>
    <x v="0"/>
    <x v="0"/>
    <n v="4.3"/>
    <x v="201"/>
    <x v="3"/>
    <s v="No"/>
    <n v="0"/>
    <s v="Within 24h"/>
    <s v="Slow"/>
    <n v="1"/>
  </r>
  <r>
    <s v="Tkt-0453"/>
    <d v="2025-12-22T02:00:00"/>
    <x v="0"/>
    <x v="1"/>
    <x v="3"/>
    <x v="1"/>
    <x v="0"/>
    <n v="4.5"/>
    <x v="5"/>
    <x v="0"/>
    <s v="No"/>
    <n v="0"/>
    <s v="Within 24h"/>
    <s v="Slow"/>
    <n v="1"/>
  </r>
  <r>
    <s v="Tkt-0454"/>
    <d v="2026-02-05T18:00:00"/>
    <x v="1"/>
    <x v="0"/>
    <x v="4"/>
    <x v="0"/>
    <x v="0"/>
    <n v="3.8"/>
    <x v="60"/>
    <x v="1"/>
    <s v="Yes"/>
    <n v="1"/>
    <s v="Within 24h"/>
    <s v="Medium"/>
    <n v="1"/>
  </r>
  <r>
    <s v="Tkt-0455"/>
    <d v="2026-02-01T01:00:00"/>
    <x v="0"/>
    <x v="2"/>
    <x v="0"/>
    <x v="4"/>
    <x v="2"/>
    <n v="5.2"/>
    <x v="22"/>
    <x v="1"/>
    <s v="No"/>
    <n v="0"/>
    <s v="Within 24h"/>
    <s v="Slow"/>
    <n v="1"/>
  </r>
  <r>
    <s v="Tkt-0456"/>
    <d v="2025-12-29T16:00:00"/>
    <x v="2"/>
    <x v="1"/>
    <x v="3"/>
    <x v="1"/>
    <x v="0"/>
    <n v="5.9"/>
    <x v="46"/>
    <x v="3"/>
    <s v="No"/>
    <n v="0"/>
    <s v="Within 24h"/>
    <s v="Slow"/>
    <n v="1"/>
  </r>
  <r>
    <s v="Tkt-0457"/>
    <d v="2025-12-15T08:00:00"/>
    <x v="0"/>
    <x v="1"/>
    <x v="4"/>
    <x v="0"/>
    <x v="0"/>
    <n v="6"/>
    <x v="119"/>
    <x v="2"/>
    <s v="No"/>
    <n v="0"/>
    <s v="Within 24h"/>
    <s v="Slow"/>
    <n v="1"/>
  </r>
  <r>
    <s v="Tkt-0458"/>
    <d v="2025-12-14T15:00:00"/>
    <x v="2"/>
    <x v="0"/>
    <x v="3"/>
    <x v="0"/>
    <x v="0"/>
    <n v="1.7"/>
    <x v="163"/>
    <x v="0"/>
    <s v="Yes"/>
    <n v="1"/>
    <s v="Within 24h"/>
    <s v="Medium"/>
    <n v="1"/>
  </r>
  <r>
    <s v="Tkt-0459"/>
    <d v="2026-02-16T18:00:00"/>
    <x v="1"/>
    <x v="1"/>
    <x v="3"/>
    <x v="0"/>
    <x v="0"/>
    <n v="3.5"/>
    <x v="5"/>
    <x v="0"/>
    <s v="Yes"/>
    <n v="1"/>
    <s v="Within 24h"/>
    <s v="Medium"/>
    <n v="1"/>
  </r>
  <r>
    <s v="Tkt-0460"/>
    <d v="2026-01-22T17:00:00"/>
    <x v="1"/>
    <x v="0"/>
    <x v="1"/>
    <x v="1"/>
    <x v="0"/>
    <n v="7.2"/>
    <x v="17"/>
    <x v="2"/>
    <s v="No"/>
    <n v="0"/>
    <s v="Within 24h"/>
    <s v="Slow"/>
    <n v="1"/>
  </r>
  <r>
    <s v="Tkt-0461"/>
    <d v="2026-01-13T19:00:00"/>
    <x v="0"/>
    <x v="1"/>
    <x v="2"/>
    <x v="4"/>
    <x v="2"/>
    <n v="6.4"/>
    <x v="85"/>
    <x v="0"/>
    <s v="No"/>
    <n v="0"/>
    <s v="Within 24h"/>
    <s v="Slow"/>
    <n v="1"/>
  </r>
  <r>
    <s v="Tkt-0462"/>
    <d v="2026-01-22T00:00:00"/>
    <x v="0"/>
    <x v="0"/>
    <x v="4"/>
    <x v="0"/>
    <x v="0"/>
    <n v="0.8"/>
    <x v="202"/>
    <x v="2"/>
    <s v="Yes"/>
    <n v="1"/>
    <s v="Within 24h"/>
    <s v="Fast"/>
    <n v="1"/>
  </r>
  <r>
    <s v="Tkt-0463"/>
    <d v="2025-12-22T20:00:00"/>
    <x v="0"/>
    <x v="1"/>
    <x v="4"/>
    <x v="0"/>
    <x v="0"/>
    <n v="5.0999999999999996"/>
    <x v="192"/>
    <x v="2"/>
    <s v="No"/>
    <n v="0"/>
    <s v="24-48h"/>
    <s v="Slow"/>
    <n v="1"/>
  </r>
  <r>
    <s v="Tkt-0464"/>
    <d v="2026-01-24T23:00:00"/>
    <x v="0"/>
    <x v="2"/>
    <x v="4"/>
    <x v="4"/>
    <x v="2"/>
    <n v="0.1"/>
    <x v="75"/>
    <x v="1"/>
    <s v="Yes"/>
    <n v="1"/>
    <s v="Within 24h"/>
    <s v="Fast"/>
    <n v="1"/>
  </r>
  <r>
    <s v="Tkt-0465"/>
    <d v="2026-02-22T07:00:00"/>
    <x v="0"/>
    <x v="0"/>
    <x v="0"/>
    <x v="0"/>
    <x v="0"/>
    <n v="4.3"/>
    <x v="203"/>
    <x v="1"/>
    <s v="No"/>
    <n v="0"/>
    <s v="Within 24h"/>
    <s v="Slow"/>
    <n v="1"/>
  </r>
  <r>
    <s v="Tkt-0466"/>
    <d v="2026-01-22T02:00:00"/>
    <x v="0"/>
    <x v="2"/>
    <x v="3"/>
    <x v="1"/>
    <x v="0"/>
    <n v="8.9"/>
    <x v="26"/>
    <x v="3"/>
    <s v="No"/>
    <n v="0"/>
    <s v="Within 24h"/>
    <s v="Slow"/>
    <n v="1"/>
  </r>
  <r>
    <s v="Tkt-0467"/>
    <d v="2026-02-12T04:00:00"/>
    <x v="0"/>
    <x v="0"/>
    <x v="0"/>
    <x v="0"/>
    <x v="0"/>
    <n v="1.8"/>
    <x v="164"/>
    <x v="1"/>
    <s v="Yes"/>
    <n v="1"/>
    <s v="Within 24h"/>
    <s v="Medium"/>
    <n v="1"/>
  </r>
  <r>
    <s v="Tkt-0468"/>
    <d v="2025-12-28T21:00:00"/>
    <x v="0"/>
    <x v="2"/>
    <x v="3"/>
    <x v="0"/>
    <x v="0"/>
    <n v="2.1"/>
    <x v="142"/>
    <x v="2"/>
    <s v="Yes"/>
    <n v="1"/>
    <s v="Within 24h"/>
    <s v="Medium"/>
    <n v="1"/>
  </r>
  <r>
    <s v="Tkt-0469"/>
    <d v="2026-02-27T06:00:00"/>
    <x v="0"/>
    <x v="2"/>
    <x v="3"/>
    <x v="4"/>
    <x v="2"/>
    <n v="6.1"/>
    <x v="204"/>
    <x v="3"/>
    <s v="No"/>
    <n v="0"/>
    <s v="Within 24h"/>
    <s v="Slow"/>
    <n v="1"/>
  </r>
  <r>
    <s v="Tkt-0470"/>
    <d v="2026-01-23T09:00:00"/>
    <x v="2"/>
    <x v="1"/>
    <x v="0"/>
    <x v="2"/>
    <x v="1"/>
    <n v="0.3"/>
    <x v="34"/>
    <x v="0"/>
    <s v="Yes"/>
    <n v="1"/>
    <s v="Within 24h"/>
    <s v="Fast"/>
    <n v="1"/>
  </r>
  <r>
    <s v="Tkt-0471"/>
    <d v="2025-12-29T10:00:00"/>
    <x v="0"/>
    <x v="1"/>
    <x v="1"/>
    <x v="0"/>
    <x v="0"/>
    <n v="2.6"/>
    <x v="56"/>
    <x v="2"/>
    <s v="Yes"/>
    <n v="1"/>
    <s v="Within 24h"/>
    <s v="Medium"/>
    <n v="1"/>
  </r>
  <r>
    <s v="Tkt-0472"/>
    <d v="2026-01-16T19:00:00"/>
    <x v="2"/>
    <x v="2"/>
    <x v="1"/>
    <x v="0"/>
    <x v="0"/>
    <n v="5.7"/>
    <x v="5"/>
    <x v="3"/>
    <s v="No"/>
    <n v="0"/>
    <s v="Within 24h"/>
    <s v="Slow"/>
    <n v="1"/>
  </r>
  <r>
    <s v="Tkt-0473"/>
    <d v="2026-02-22T16:00:00"/>
    <x v="0"/>
    <x v="0"/>
    <x v="4"/>
    <x v="0"/>
    <x v="0"/>
    <n v="2.6"/>
    <x v="45"/>
    <x v="1"/>
    <s v="Yes"/>
    <n v="1"/>
    <s v="Within 24h"/>
    <s v="Medium"/>
    <n v="1"/>
  </r>
  <r>
    <s v="Tkt-0474"/>
    <d v="2025-12-29T21:00:00"/>
    <x v="0"/>
    <x v="0"/>
    <x v="3"/>
    <x v="0"/>
    <x v="0"/>
    <n v="3.6"/>
    <x v="106"/>
    <x v="2"/>
    <s v="Yes"/>
    <n v="1"/>
    <s v="Within 24h"/>
    <s v="Medium"/>
    <n v="1"/>
  </r>
  <r>
    <s v="Tkt-0475"/>
    <d v="2026-02-20T12:00:00"/>
    <x v="0"/>
    <x v="1"/>
    <x v="2"/>
    <x v="0"/>
    <x v="0"/>
    <n v="6.1"/>
    <x v="145"/>
    <x v="3"/>
    <s v="No"/>
    <n v="0"/>
    <s v="Within 24h"/>
    <s v="Slow"/>
    <n v="1"/>
  </r>
  <r>
    <s v="Tkt-0476"/>
    <d v="2025-12-28T22:00:00"/>
    <x v="2"/>
    <x v="2"/>
    <x v="0"/>
    <x v="0"/>
    <x v="0"/>
    <n v="5.3"/>
    <x v="135"/>
    <x v="0"/>
    <s v="No"/>
    <n v="0"/>
    <s v="Within 24h"/>
    <s v="Slow"/>
    <n v="1"/>
  </r>
  <r>
    <s v="Tkt-0477"/>
    <d v="2025-12-17T04:00:00"/>
    <x v="0"/>
    <x v="2"/>
    <x v="2"/>
    <x v="1"/>
    <x v="0"/>
    <n v="4.9000000000000004"/>
    <x v="5"/>
    <x v="2"/>
    <s v="No"/>
    <n v="0"/>
    <s v="Within 24h"/>
    <s v="Slow"/>
    <n v="1"/>
  </r>
  <r>
    <s v="Tkt-0478"/>
    <d v="2025-12-03T23:00:00"/>
    <x v="0"/>
    <x v="2"/>
    <x v="0"/>
    <x v="1"/>
    <x v="0"/>
    <n v="3.4"/>
    <x v="54"/>
    <x v="2"/>
    <s v="Yes"/>
    <n v="1"/>
    <s v="Within 24h"/>
    <s v="Medium"/>
    <n v="1"/>
  </r>
  <r>
    <s v="Tkt-0479"/>
    <d v="2026-02-09T20:00:00"/>
    <x v="0"/>
    <x v="1"/>
    <x v="2"/>
    <x v="1"/>
    <x v="0"/>
    <n v="5.0999999999999996"/>
    <x v="194"/>
    <x v="3"/>
    <s v="No"/>
    <n v="0"/>
    <s v="Within 24h"/>
    <s v="Slow"/>
    <n v="1"/>
  </r>
  <r>
    <s v="Tkt-0480"/>
    <d v="2025-12-18T15:00:00"/>
    <x v="0"/>
    <x v="2"/>
    <x v="0"/>
    <x v="4"/>
    <x v="2"/>
    <n v="3.9"/>
    <x v="5"/>
    <x v="3"/>
    <s v="Yes"/>
    <n v="1"/>
    <s v="Within 24h"/>
    <s v="Medium"/>
    <n v="1"/>
  </r>
  <r>
    <s v="Tkt-0481"/>
    <d v="2026-02-18T17:00:00"/>
    <x v="0"/>
    <x v="0"/>
    <x v="2"/>
    <x v="0"/>
    <x v="0"/>
    <n v="5.3"/>
    <x v="5"/>
    <x v="1"/>
    <s v="No"/>
    <n v="0"/>
    <s v="Within 24h"/>
    <s v="Slow"/>
    <n v="1"/>
  </r>
  <r>
    <s v="Tkt-0482"/>
    <d v="2026-02-13T07:00:00"/>
    <x v="0"/>
    <x v="1"/>
    <x v="1"/>
    <x v="1"/>
    <x v="0"/>
    <n v="3"/>
    <x v="195"/>
    <x v="1"/>
    <s v="Yes"/>
    <n v="1"/>
    <s v="Within 24h"/>
    <s v="Medium"/>
    <n v="1"/>
  </r>
  <r>
    <s v="Tkt-0483"/>
    <d v="2026-01-06T05:00:00"/>
    <x v="0"/>
    <x v="0"/>
    <x v="0"/>
    <x v="0"/>
    <x v="0"/>
    <n v="3.7"/>
    <x v="101"/>
    <x v="2"/>
    <s v="Yes"/>
    <n v="1"/>
    <s v="Within 24h"/>
    <s v="Medium"/>
    <n v="1"/>
  </r>
  <r>
    <s v="Tkt-0484"/>
    <d v="2025-12-14T05:00:00"/>
    <x v="0"/>
    <x v="0"/>
    <x v="3"/>
    <x v="0"/>
    <x v="0"/>
    <n v="1.7"/>
    <x v="188"/>
    <x v="0"/>
    <s v="Yes"/>
    <n v="1"/>
    <s v="Within 24h"/>
    <s v="Medium"/>
    <n v="1"/>
  </r>
  <r>
    <s v="Tkt-0485"/>
    <d v="2026-01-31T08:00:00"/>
    <x v="0"/>
    <x v="0"/>
    <x v="1"/>
    <x v="0"/>
    <x v="0"/>
    <n v="4.0999999999999996"/>
    <x v="190"/>
    <x v="1"/>
    <s v="No"/>
    <n v="0"/>
    <s v="Within 24h"/>
    <s v="Slow"/>
    <n v="1"/>
  </r>
  <r>
    <s v="Tkt-0486"/>
    <d v="2026-01-11T10:00:00"/>
    <x v="2"/>
    <x v="0"/>
    <x v="3"/>
    <x v="1"/>
    <x v="0"/>
    <n v="2.2000000000000002"/>
    <x v="205"/>
    <x v="0"/>
    <s v="Yes"/>
    <n v="1"/>
    <s v="Within 24h"/>
    <s v="Medium"/>
    <n v="1"/>
  </r>
  <r>
    <s v="Tkt-0487"/>
    <d v="2026-01-03T15:00:00"/>
    <x v="0"/>
    <x v="1"/>
    <x v="2"/>
    <x v="3"/>
    <x v="1"/>
    <n v="1.4"/>
    <x v="206"/>
    <x v="3"/>
    <s v="Yes"/>
    <n v="1"/>
    <s v="24-48h"/>
    <s v="Medium"/>
    <n v="1"/>
  </r>
  <r>
    <s v="Tkt-0488"/>
    <d v="2025-12-15T11:00:00"/>
    <x v="0"/>
    <x v="0"/>
    <x v="4"/>
    <x v="3"/>
    <x v="1"/>
    <n v="4.8"/>
    <x v="186"/>
    <x v="3"/>
    <s v="No"/>
    <n v="0"/>
    <s v="Within 24h"/>
    <s v="Slow"/>
    <n v="1"/>
  </r>
  <r>
    <s v="Tkt-0489"/>
    <d v="2026-01-20T06:00:00"/>
    <x v="0"/>
    <x v="1"/>
    <x v="3"/>
    <x v="1"/>
    <x v="0"/>
    <n v="4.7"/>
    <x v="176"/>
    <x v="1"/>
    <s v="No"/>
    <n v="0"/>
    <s v="Within 24h"/>
    <s v="Slow"/>
    <n v="1"/>
  </r>
  <r>
    <s v="Tkt-0490"/>
    <d v="2025-12-11T23:00:00"/>
    <x v="0"/>
    <x v="0"/>
    <x v="0"/>
    <x v="3"/>
    <x v="1"/>
    <n v="6.2"/>
    <x v="5"/>
    <x v="2"/>
    <s v="No"/>
    <n v="0"/>
    <s v="Within 24h"/>
    <s v="Slow"/>
    <n v="1"/>
  </r>
  <r>
    <s v="Tkt-0491"/>
    <d v="2025-12-12T01:00:00"/>
    <x v="0"/>
    <x v="0"/>
    <x v="0"/>
    <x v="0"/>
    <x v="0"/>
    <n v="3.1"/>
    <x v="188"/>
    <x v="3"/>
    <s v="Yes"/>
    <n v="1"/>
    <s v="Within 24h"/>
    <s v="Medium"/>
    <n v="1"/>
  </r>
  <r>
    <s v="Tkt-0492"/>
    <d v="2026-02-16T18:00:00"/>
    <x v="0"/>
    <x v="0"/>
    <x v="2"/>
    <x v="0"/>
    <x v="0"/>
    <n v="5.2"/>
    <x v="9"/>
    <x v="0"/>
    <s v="No"/>
    <n v="0"/>
    <s v="Within 24h"/>
    <s v="Slow"/>
    <n v="1"/>
  </r>
  <r>
    <s v="Tkt-0493"/>
    <d v="2025-12-10T18:00:00"/>
    <x v="1"/>
    <x v="0"/>
    <x v="3"/>
    <x v="0"/>
    <x v="0"/>
    <n v="5.6"/>
    <x v="207"/>
    <x v="2"/>
    <s v="No"/>
    <n v="0"/>
    <s v="Within 24h"/>
    <s v="Slow"/>
    <n v="1"/>
  </r>
  <r>
    <s v="Tkt-0494"/>
    <d v="2026-01-26T03:00:00"/>
    <x v="0"/>
    <x v="1"/>
    <x v="3"/>
    <x v="0"/>
    <x v="0"/>
    <n v="5.3"/>
    <x v="46"/>
    <x v="1"/>
    <s v="No"/>
    <n v="0"/>
    <s v="Within 24h"/>
    <s v="Slow"/>
    <n v="1"/>
  </r>
  <r>
    <s v="Tkt-0495"/>
    <d v="2026-02-18T19:00:00"/>
    <x v="0"/>
    <x v="1"/>
    <x v="3"/>
    <x v="4"/>
    <x v="2"/>
    <n v="2.1"/>
    <x v="207"/>
    <x v="3"/>
    <s v="Yes"/>
    <n v="1"/>
    <s v="Within 24h"/>
    <s v="Medium"/>
    <n v="1"/>
  </r>
  <r>
    <s v="Tkt-0496"/>
    <d v="2026-01-29T19:00:00"/>
    <x v="0"/>
    <x v="1"/>
    <x v="4"/>
    <x v="0"/>
    <x v="0"/>
    <n v="4.5999999999999996"/>
    <x v="65"/>
    <x v="1"/>
    <s v="No"/>
    <n v="0"/>
    <s v="Within 24h"/>
    <s v="Slow"/>
    <n v="1"/>
  </r>
  <r>
    <s v="Tkt-0497"/>
    <d v="2025-12-20T22:00:00"/>
    <x v="2"/>
    <x v="1"/>
    <x v="2"/>
    <x v="0"/>
    <x v="0"/>
    <n v="5.0999999999999996"/>
    <x v="208"/>
    <x v="2"/>
    <s v="No"/>
    <n v="0"/>
    <s v="24-48h"/>
    <s v="Slow"/>
    <n v="1"/>
  </r>
  <r>
    <s v="Tkt-0498"/>
    <d v="2026-02-09T00:00:00"/>
    <x v="0"/>
    <x v="0"/>
    <x v="1"/>
    <x v="4"/>
    <x v="2"/>
    <n v="4.2"/>
    <x v="119"/>
    <x v="2"/>
    <s v="No"/>
    <n v="0"/>
    <s v="Within 24h"/>
    <s v="Slow"/>
    <n v="1"/>
  </r>
  <r>
    <s v="Tkt-0499"/>
    <d v="2026-01-07T10:00:00"/>
    <x v="0"/>
    <x v="2"/>
    <x v="3"/>
    <x v="0"/>
    <x v="0"/>
    <n v="0.1"/>
    <x v="124"/>
    <x v="2"/>
    <s v="Yes"/>
    <n v="1"/>
    <s v="Within 24h"/>
    <s v="Fast"/>
    <n v="1"/>
  </r>
  <r>
    <s v="Tkt-0500"/>
    <d v="2025-12-02T05:00:00"/>
    <x v="0"/>
    <x v="1"/>
    <x v="2"/>
    <x v="1"/>
    <x v="0"/>
    <n v="4.5999999999999996"/>
    <x v="209"/>
    <x v="0"/>
    <s v="No"/>
    <n v="0"/>
    <s v="Within 24h"/>
    <s v="Slow"/>
    <n v="1"/>
  </r>
  <r>
    <s v="Tkt-0501"/>
    <d v="2025-12-30T15:00:00"/>
    <x v="0"/>
    <x v="1"/>
    <x v="2"/>
    <x v="0"/>
    <x v="0"/>
    <n v="9.6999999999999993"/>
    <x v="179"/>
    <x v="2"/>
    <s v="No"/>
    <n v="0"/>
    <s v="Within 24h"/>
    <s v="Slow"/>
    <n v="1"/>
  </r>
  <r>
    <s v="Tkt-0502"/>
    <d v="2026-02-24T17:00:00"/>
    <x v="0"/>
    <x v="0"/>
    <x v="4"/>
    <x v="0"/>
    <x v="0"/>
    <n v="3.3"/>
    <x v="210"/>
    <x v="2"/>
    <s v="Yes"/>
    <n v="1"/>
    <s v="24-48h"/>
    <s v="Medium"/>
    <n v="1"/>
  </r>
  <r>
    <s v="Tkt-0503"/>
    <d v="2026-01-23T02:00:00"/>
    <x v="0"/>
    <x v="0"/>
    <x v="1"/>
    <x v="3"/>
    <x v="1"/>
    <n v="2.4"/>
    <x v="77"/>
    <x v="3"/>
    <s v="Yes"/>
    <n v="1"/>
    <s v="Within 24h"/>
    <s v="Medium"/>
    <n v="1"/>
  </r>
  <r>
    <s v="Tkt-0504"/>
    <d v="2026-01-23T02:00:00"/>
    <x v="0"/>
    <x v="0"/>
    <x v="0"/>
    <x v="0"/>
    <x v="0"/>
    <n v="5.0999999999999996"/>
    <x v="125"/>
    <x v="0"/>
    <s v="No"/>
    <n v="0"/>
    <s v="Within 24h"/>
    <s v="Slow"/>
    <n v="1"/>
  </r>
  <r>
    <s v="Tkt-0505"/>
    <d v="2026-01-01T22:00:00"/>
    <x v="1"/>
    <x v="0"/>
    <x v="0"/>
    <x v="0"/>
    <x v="0"/>
    <n v="5"/>
    <x v="25"/>
    <x v="0"/>
    <s v="No"/>
    <n v="0"/>
    <s v="Within 24h"/>
    <s v="Slow"/>
    <n v="1"/>
  </r>
  <r>
    <s v="Tkt-0506"/>
    <d v="2025-12-03T17:00:00"/>
    <x v="0"/>
    <x v="1"/>
    <x v="2"/>
    <x v="0"/>
    <x v="0"/>
    <n v="7.2"/>
    <x v="126"/>
    <x v="1"/>
    <s v="No"/>
    <n v="0"/>
    <s v="Within 24h"/>
    <s v="Slow"/>
    <n v="1"/>
  </r>
  <r>
    <s v="Tkt-0507"/>
    <d v="2026-01-26T04:00:00"/>
    <x v="0"/>
    <x v="1"/>
    <x v="3"/>
    <x v="1"/>
    <x v="0"/>
    <n v="1.1000000000000001"/>
    <x v="12"/>
    <x v="2"/>
    <s v="Yes"/>
    <n v="1"/>
    <s v="Within 24h"/>
    <s v="Medium"/>
    <n v="1"/>
  </r>
  <r>
    <s v="Tkt-0508"/>
    <d v="2025-12-15T03:00:00"/>
    <x v="0"/>
    <x v="1"/>
    <x v="2"/>
    <x v="0"/>
    <x v="0"/>
    <n v="6"/>
    <x v="187"/>
    <x v="3"/>
    <s v="No"/>
    <n v="0"/>
    <s v="Within 24h"/>
    <s v="Slow"/>
    <n v="1"/>
  </r>
  <r>
    <s v="Tkt-0509"/>
    <d v="2026-02-03T11:00:00"/>
    <x v="0"/>
    <x v="2"/>
    <x v="2"/>
    <x v="3"/>
    <x v="1"/>
    <n v="5.7"/>
    <x v="211"/>
    <x v="1"/>
    <s v="No"/>
    <n v="0"/>
    <s v="24-48h"/>
    <s v="Slow"/>
    <n v="1"/>
  </r>
  <r>
    <s v="Tkt-0510"/>
    <d v="2026-02-14T07:00:00"/>
    <x v="0"/>
    <x v="2"/>
    <x v="0"/>
    <x v="1"/>
    <x v="0"/>
    <n v="3.8"/>
    <x v="23"/>
    <x v="2"/>
    <s v="Yes"/>
    <n v="1"/>
    <s v="Within 24h"/>
    <s v="Medium"/>
    <n v="1"/>
  </r>
  <r>
    <s v="Tkt-0511"/>
    <d v="2026-01-31T04:00:00"/>
    <x v="0"/>
    <x v="1"/>
    <x v="2"/>
    <x v="3"/>
    <x v="1"/>
    <n v="5"/>
    <x v="134"/>
    <x v="0"/>
    <s v="No"/>
    <n v="0"/>
    <s v="Within 24h"/>
    <s v="Slow"/>
    <n v="1"/>
  </r>
  <r>
    <s v="Tkt-0512"/>
    <d v="2026-02-09T16:00:00"/>
    <x v="0"/>
    <x v="2"/>
    <x v="3"/>
    <x v="0"/>
    <x v="0"/>
    <n v="6.8"/>
    <x v="138"/>
    <x v="2"/>
    <s v="No"/>
    <n v="0"/>
    <s v="Within 24h"/>
    <s v="Slow"/>
    <n v="1"/>
  </r>
  <r>
    <s v="Tkt-0513"/>
    <d v="2026-02-10T22:00:00"/>
    <x v="0"/>
    <x v="0"/>
    <x v="3"/>
    <x v="0"/>
    <x v="0"/>
    <n v="6.4"/>
    <x v="5"/>
    <x v="2"/>
    <s v="No"/>
    <n v="0"/>
    <s v="Within 24h"/>
    <s v="Slow"/>
    <n v="1"/>
  </r>
  <r>
    <s v="Tkt-0514"/>
    <d v="2026-02-21T19:00:00"/>
    <x v="2"/>
    <x v="0"/>
    <x v="4"/>
    <x v="0"/>
    <x v="0"/>
    <n v="1.3"/>
    <x v="3"/>
    <x v="3"/>
    <s v="Yes"/>
    <n v="1"/>
    <s v="Within 24h"/>
    <s v="Medium"/>
    <n v="1"/>
  </r>
  <r>
    <s v="Tkt-0515"/>
    <d v="2026-01-20T05:00:00"/>
    <x v="2"/>
    <x v="0"/>
    <x v="1"/>
    <x v="0"/>
    <x v="0"/>
    <n v="6.3"/>
    <x v="100"/>
    <x v="3"/>
    <s v="No"/>
    <n v="0"/>
    <s v="Within 24h"/>
    <s v="Slow"/>
    <n v="1"/>
  </r>
  <r>
    <s v="Tkt-0516"/>
    <d v="2025-12-18T15:00:00"/>
    <x v="0"/>
    <x v="1"/>
    <x v="0"/>
    <x v="3"/>
    <x v="1"/>
    <n v="4"/>
    <x v="144"/>
    <x v="3"/>
    <s v="No"/>
    <n v="0"/>
    <s v="Within 24h"/>
    <s v="Medium"/>
    <n v="1"/>
  </r>
  <r>
    <s v="Tkt-0517"/>
    <d v="2026-01-03T21:00:00"/>
    <x v="0"/>
    <x v="2"/>
    <x v="3"/>
    <x v="1"/>
    <x v="0"/>
    <n v="4.4000000000000004"/>
    <x v="14"/>
    <x v="1"/>
    <s v="No"/>
    <n v="0"/>
    <s v="Within 24h"/>
    <s v="Slow"/>
    <n v="1"/>
  </r>
  <r>
    <s v="Tkt-0518"/>
    <d v="2025-12-31T02:00:00"/>
    <x v="0"/>
    <x v="0"/>
    <x v="4"/>
    <x v="3"/>
    <x v="1"/>
    <n v="4.4000000000000004"/>
    <x v="116"/>
    <x v="3"/>
    <s v="No"/>
    <n v="0"/>
    <s v="Within 24h"/>
    <s v="Slow"/>
    <n v="1"/>
  </r>
  <r>
    <s v="Tkt-0519"/>
    <d v="2026-01-21T02:00:00"/>
    <x v="1"/>
    <x v="2"/>
    <x v="4"/>
    <x v="4"/>
    <x v="2"/>
    <n v="3.8"/>
    <x v="34"/>
    <x v="1"/>
    <s v="Yes"/>
    <n v="1"/>
    <s v="Within 24h"/>
    <s v="Medium"/>
    <n v="1"/>
  </r>
  <r>
    <s v="Tkt-0520"/>
    <d v="2026-01-08T16:00:00"/>
    <x v="0"/>
    <x v="0"/>
    <x v="4"/>
    <x v="4"/>
    <x v="2"/>
    <n v="7.2"/>
    <x v="177"/>
    <x v="2"/>
    <s v="No"/>
    <n v="0"/>
    <s v="Within 24h"/>
    <s v="Slow"/>
    <n v="1"/>
  </r>
  <r>
    <s v="Tkt-0521"/>
    <d v="2025-12-26T07:00:00"/>
    <x v="0"/>
    <x v="2"/>
    <x v="0"/>
    <x v="1"/>
    <x v="0"/>
    <n v="4"/>
    <x v="209"/>
    <x v="1"/>
    <s v="No"/>
    <n v="0"/>
    <s v="Within 24h"/>
    <s v="Medium"/>
    <n v="1"/>
  </r>
  <r>
    <s v="Tkt-0522"/>
    <d v="2025-12-27T10:00:00"/>
    <x v="0"/>
    <x v="0"/>
    <x v="0"/>
    <x v="1"/>
    <x v="0"/>
    <n v="1.4"/>
    <x v="212"/>
    <x v="1"/>
    <s v="Yes"/>
    <n v="1"/>
    <s v="Within 24h"/>
    <s v="Medium"/>
    <n v="1"/>
  </r>
  <r>
    <s v="Tkt-0523"/>
    <d v="2026-02-18T05:00:00"/>
    <x v="0"/>
    <x v="0"/>
    <x v="3"/>
    <x v="3"/>
    <x v="1"/>
    <n v="3.2"/>
    <x v="170"/>
    <x v="3"/>
    <s v="Yes"/>
    <n v="1"/>
    <s v="Within 24h"/>
    <s v="Medium"/>
    <n v="1"/>
  </r>
  <r>
    <s v="Tkt-0524"/>
    <d v="2026-02-23T11:00:00"/>
    <x v="0"/>
    <x v="1"/>
    <x v="2"/>
    <x v="4"/>
    <x v="2"/>
    <n v="4.5999999999999996"/>
    <x v="213"/>
    <x v="3"/>
    <s v="No"/>
    <n v="0"/>
    <s v="24-48h"/>
    <s v="Slow"/>
    <n v="1"/>
  </r>
  <r>
    <s v="Tkt-0525"/>
    <d v="2026-01-18T05:00:00"/>
    <x v="0"/>
    <x v="0"/>
    <x v="0"/>
    <x v="4"/>
    <x v="2"/>
    <n v="7.3"/>
    <x v="214"/>
    <x v="0"/>
    <s v="No"/>
    <n v="0"/>
    <s v="Within 24h"/>
    <s v="Slow"/>
    <n v="1"/>
  </r>
  <r>
    <s v="Tkt-0526"/>
    <d v="2026-01-28T00:00:00"/>
    <x v="0"/>
    <x v="0"/>
    <x v="0"/>
    <x v="0"/>
    <x v="0"/>
    <n v="5.7"/>
    <x v="189"/>
    <x v="1"/>
    <s v="No"/>
    <n v="0"/>
    <s v="Within 24h"/>
    <s v="Slow"/>
    <n v="1"/>
  </r>
  <r>
    <s v="Tkt-0527"/>
    <d v="2026-02-17T17:00:00"/>
    <x v="0"/>
    <x v="0"/>
    <x v="1"/>
    <x v="0"/>
    <x v="0"/>
    <n v="2.1"/>
    <x v="167"/>
    <x v="2"/>
    <s v="Yes"/>
    <n v="1"/>
    <s v="Within 24h"/>
    <s v="Medium"/>
    <n v="1"/>
  </r>
  <r>
    <s v="Tkt-0528"/>
    <d v="2025-12-04T06:00:00"/>
    <x v="2"/>
    <x v="2"/>
    <x v="0"/>
    <x v="0"/>
    <x v="0"/>
    <n v="10.4"/>
    <x v="179"/>
    <x v="0"/>
    <s v="No"/>
    <n v="0"/>
    <s v="Within 24h"/>
    <s v="Slow"/>
    <n v="1"/>
  </r>
  <r>
    <s v="Tkt-0529"/>
    <d v="2025-12-16T00:00:00"/>
    <x v="0"/>
    <x v="1"/>
    <x v="1"/>
    <x v="1"/>
    <x v="0"/>
    <n v="4.9000000000000004"/>
    <x v="215"/>
    <x v="0"/>
    <s v="No"/>
    <n v="0"/>
    <s v="Within 24h"/>
    <s v="Slow"/>
    <n v="1"/>
  </r>
  <r>
    <s v="Tkt-0530"/>
    <d v="2025-12-04T16:00:00"/>
    <x v="0"/>
    <x v="0"/>
    <x v="4"/>
    <x v="1"/>
    <x v="0"/>
    <n v="7.4"/>
    <x v="5"/>
    <x v="0"/>
    <s v="No"/>
    <n v="0"/>
    <s v="Within 24h"/>
    <s v="Slow"/>
    <n v="1"/>
  </r>
  <r>
    <s v="Tkt-0531"/>
    <d v="2025-12-17T23:00:00"/>
    <x v="0"/>
    <x v="1"/>
    <x v="2"/>
    <x v="0"/>
    <x v="0"/>
    <n v="3.8"/>
    <x v="13"/>
    <x v="3"/>
    <s v="Yes"/>
    <n v="1"/>
    <s v="Within 24h"/>
    <s v="Medium"/>
    <n v="1"/>
  </r>
  <r>
    <s v="Tkt-0532"/>
    <d v="2026-02-06T09:00:00"/>
    <x v="0"/>
    <x v="1"/>
    <x v="0"/>
    <x v="1"/>
    <x v="0"/>
    <n v="5.5"/>
    <x v="74"/>
    <x v="3"/>
    <s v="No"/>
    <n v="0"/>
    <s v="Within 24h"/>
    <s v="Slow"/>
    <n v="1"/>
  </r>
  <r>
    <s v="Tkt-0533"/>
    <d v="2025-12-24T04:00:00"/>
    <x v="0"/>
    <x v="0"/>
    <x v="0"/>
    <x v="1"/>
    <x v="0"/>
    <n v="6.3"/>
    <x v="36"/>
    <x v="3"/>
    <s v="No"/>
    <n v="0"/>
    <s v="Within 24h"/>
    <s v="Slow"/>
    <n v="1"/>
  </r>
  <r>
    <s v="Tkt-0534"/>
    <d v="2026-01-03T16:00:00"/>
    <x v="0"/>
    <x v="1"/>
    <x v="4"/>
    <x v="4"/>
    <x v="2"/>
    <n v="7.2"/>
    <x v="157"/>
    <x v="2"/>
    <s v="No"/>
    <n v="0"/>
    <s v="Within 24h"/>
    <s v="Slow"/>
    <n v="1"/>
  </r>
  <r>
    <s v="Tkt-0535"/>
    <d v="2026-02-05T06:00:00"/>
    <x v="0"/>
    <x v="0"/>
    <x v="2"/>
    <x v="4"/>
    <x v="2"/>
    <n v="6.8"/>
    <x v="54"/>
    <x v="1"/>
    <s v="No"/>
    <n v="0"/>
    <s v="Within 24h"/>
    <s v="Slow"/>
    <n v="1"/>
  </r>
  <r>
    <s v="Tkt-0536"/>
    <d v="2026-01-04T04:00:00"/>
    <x v="0"/>
    <x v="0"/>
    <x v="4"/>
    <x v="1"/>
    <x v="0"/>
    <n v="6.4"/>
    <x v="198"/>
    <x v="0"/>
    <s v="No"/>
    <n v="0"/>
    <s v="Within 24h"/>
    <s v="Slow"/>
    <n v="1"/>
  </r>
  <r>
    <s v="Tkt-0537"/>
    <d v="2025-12-28T22:00:00"/>
    <x v="0"/>
    <x v="1"/>
    <x v="0"/>
    <x v="1"/>
    <x v="0"/>
    <n v="3.4"/>
    <x v="105"/>
    <x v="3"/>
    <s v="Yes"/>
    <n v="1"/>
    <s v="Within 24h"/>
    <s v="Medium"/>
    <n v="1"/>
  </r>
  <r>
    <s v="Tkt-0538"/>
    <d v="2025-12-30T13:00:00"/>
    <x v="0"/>
    <x v="0"/>
    <x v="2"/>
    <x v="0"/>
    <x v="0"/>
    <n v="2.8"/>
    <x v="96"/>
    <x v="1"/>
    <s v="Yes"/>
    <n v="1"/>
    <s v="Within 24h"/>
    <s v="Medium"/>
    <n v="1"/>
  </r>
  <r>
    <s v="Tkt-0539"/>
    <d v="2026-01-07T14:00:00"/>
    <x v="1"/>
    <x v="1"/>
    <x v="2"/>
    <x v="3"/>
    <x v="1"/>
    <n v="5"/>
    <x v="216"/>
    <x v="0"/>
    <s v="No"/>
    <n v="0"/>
    <s v="Within 24h"/>
    <s v="Slow"/>
    <n v="1"/>
  </r>
  <r>
    <s v="Tkt-0540"/>
    <d v="2026-01-18T03:00:00"/>
    <x v="0"/>
    <x v="1"/>
    <x v="4"/>
    <x v="4"/>
    <x v="2"/>
    <n v="6.5"/>
    <x v="101"/>
    <x v="1"/>
    <s v="No"/>
    <n v="0"/>
    <s v="Within 24h"/>
    <s v="Slow"/>
    <n v="1"/>
  </r>
  <r>
    <s v="Tkt-0541"/>
    <d v="2026-02-15T19:00:00"/>
    <x v="0"/>
    <x v="0"/>
    <x v="2"/>
    <x v="0"/>
    <x v="0"/>
    <n v="3.6"/>
    <x v="25"/>
    <x v="0"/>
    <s v="Yes"/>
    <n v="1"/>
    <s v="Within 24h"/>
    <s v="Medium"/>
    <n v="1"/>
  </r>
  <r>
    <s v="Tkt-0542"/>
    <d v="2026-01-17T11:00:00"/>
    <x v="0"/>
    <x v="1"/>
    <x v="2"/>
    <x v="4"/>
    <x v="2"/>
    <n v="6.9"/>
    <x v="38"/>
    <x v="1"/>
    <s v="No"/>
    <n v="0"/>
    <s v="Within 24h"/>
    <s v="Slow"/>
    <n v="1"/>
  </r>
  <r>
    <s v="Tkt-0543"/>
    <d v="2025-12-02T09:00:00"/>
    <x v="0"/>
    <x v="0"/>
    <x v="4"/>
    <x v="1"/>
    <x v="0"/>
    <n v="7.8"/>
    <x v="5"/>
    <x v="3"/>
    <s v="No"/>
    <n v="0"/>
    <s v="Within 24h"/>
    <s v="Slow"/>
    <n v="1"/>
  </r>
  <r>
    <s v="Tkt-0544"/>
    <d v="2026-01-23T03:00:00"/>
    <x v="0"/>
    <x v="2"/>
    <x v="0"/>
    <x v="0"/>
    <x v="0"/>
    <n v="1.9"/>
    <x v="167"/>
    <x v="1"/>
    <s v="Yes"/>
    <n v="1"/>
    <s v="Within 24h"/>
    <s v="Medium"/>
    <n v="1"/>
  </r>
  <r>
    <s v="Tkt-0545"/>
    <d v="2026-01-08T07:00:00"/>
    <x v="0"/>
    <x v="1"/>
    <x v="3"/>
    <x v="4"/>
    <x v="2"/>
    <n v="2.1"/>
    <x v="35"/>
    <x v="1"/>
    <s v="Yes"/>
    <n v="1"/>
    <s v="Within 24h"/>
    <s v="Medium"/>
    <n v="1"/>
  </r>
  <r>
    <s v="Tkt-0546"/>
    <d v="2026-02-24T10:00:00"/>
    <x v="1"/>
    <x v="2"/>
    <x v="0"/>
    <x v="3"/>
    <x v="1"/>
    <n v="3.8"/>
    <x v="35"/>
    <x v="0"/>
    <s v="Yes"/>
    <n v="1"/>
    <s v="Within 24h"/>
    <s v="Medium"/>
    <n v="1"/>
  </r>
  <r>
    <s v="Tkt-0547"/>
    <d v="2026-02-17T14:00:00"/>
    <x v="0"/>
    <x v="1"/>
    <x v="3"/>
    <x v="1"/>
    <x v="0"/>
    <n v="5"/>
    <x v="149"/>
    <x v="1"/>
    <s v="No"/>
    <n v="0"/>
    <s v="Within 24h"/>
    <s v="Slow"/>
    <n v="1"/>
  </r>
  <r>
    <s v="Tkt-0548"/>
    <d v="2026-01-27T14:00:00"/>
    <x v="0"/>
    <x v="0"/>
    <x v="3"/>
    <x v="1"/>
    <x v="0"/>
    <n v="2.9"/>
    <x v="217"/>
    <x v="2"/>
    <s v="Yes"/>
    <n v="1"/>
    <s v="Within 24h"/>
    <s v="Medium"/>
    <n v="1"/>
  </r>
  <r>
    <s v="Tkt-0549"/>
    <d v="2026-02-14T12:00:00"/>
    <x v="0"/>
    <x v="1"/>
    <x v="0"/>
    <x v="0"/>
    <x v="0"/>
    <n v="7.6"/>
    <x v="13"/>
    <x v="0"/>
    <s v="No"/>
    <n v="0"/>
    <s v="Within 24h"/>
    <s v="Slow"/>
    <n v="1"/>
  </r>
  <r>
    <s v="Tkt-0550"/>
    <d v="2025-12-26T00:00:00"/>
    <x v="0"/>
    <x v="2"/>
    <x v="3"/>
    <x v="0"/>
    <x v="0"/>
    <n v="5.3"/>
    <x v="157"/>
    <x v="1"/>
    <s v="No"/>
    <n v="0"/>
    <s v="Within 24h"/>
    <s v="Slow"/>
    <n v="1"/>
  </r>
  <r>
    <s v="Tkt-0551"/>
    <d v="2025-12-06T07:00:00"/>
    <x v="0"/>
    <x v="1"/>
    <x v="0"/>
    <x v="4"/>
    <x v="2"/>
    <n v="4.3"/>
    <x v="176"/>
    <x v="2"/>
    <s v="No"/>
    <n v="0"/>
    <s v="Within 24h"/>
    <s v="Slow"/>
    <n v="1"/>
  </r>
  <r>
    <s v="Tkt-0552"/>
    <d v="2025-12-31T11:00:00"/>
    <x v="0"/>
    <x v="2"/>
    <x v="2"/>
    <x v="0"/>
    <x v="0"/>
    <n v="0.6"/>
    <x v="58"/>
    <x v="0"/>
    <s v="Yes"/>
    <n v="1"/>
    <s v="Within 24h"/>
    <s v="Fast"/>
    <n v="1"/>
  </r>
  <r>
    <s v="Tkt-0553"/>
    <d v="2026-02-22T18:00:00"/>
    <x v="0"/>
    <x v="2"/>
    <x v="1"/>
    <x v="1"/>
    <x v="0"/>
    <n v="0.9"/>
    <x v="129"/>
    <x v="3"/>
    <s v="Yes"/>
    <n v="1"/>
    <s v="Within 24h"/>
    <s v="Fast"/>
    <n v="1"/>
  </r>
  <r>
    <s v="Tkt-0554"/>
    <d v="2025-12-24T13:00:00"/>
    <x v="0"/>
    <x v="0"/>
    <x v="0"/>
    <x v="4"/>
    <x v="2"/>
    <n v="4.9000000000000004"/>
    <x v="171"/>
    <x v="0"/>
    <s v="No"/>
    <n v="0"/>
    <s v="Within 24h"/>
    <s v="Slow"/>
    <n v="1"/>
  </r>
  <r>
    <s v="Tkt-0555"/>
    <d v="2025-12-11T09:00:00"/>
    <x v="0"/>
    <x v="0"/>
    <x v="1"/>
    <x v="0"/>
    <x v="0"/>
    <n v="0.1"/>
    <x v="26"/>
    <x v="0"/>
    <s v="Yes"/>
    <n v="1"/>
    <s v="Within 24h"/>
    <s v="Fast"/>
    <n v="1"/>
  </r>
  <r>
    <s v="Tkt-0556"/>
    <d v="2025-12-10T10:00:00"/>
    <x v="1"/>
    <x v="1"/>
    <x v="3"/>
    <x v="1"/>
    <x v="0"/>
    <n v="6.7"/>
    <x v="1"/>
    <x v="1"/>
    <s v="No"/>
    <n v="0"/>
    <s v="Within 24h"/>
    <s v="Slow"/>
    <n v="1"/>
  </r>
  <r>
    <s v="Tkt-0557"/>
    <d v="2026-02-22T18:00:00"/>
    <x v="2"/>
    <x v="1"/>
    <x v="0"/>
    <x v="1"/>
    <x v="0"/>
    <n v="3.8"/>
    <x v="176"/>
    <x v="2"/>
    <s v="Yes"/>
    <n v="1"/>
    <s v="Within 24h"/>
    <s v="Medium"/>
    <n v="1"/>
  </r>
  <r>
    <s v="Tkt-0558"/>
    <d v="2026-01-25T07:00:00"/>
    <x v="0"/>
    <x v="2"/>
    <x v="0"/>
    <x v="3"/>
    <x v="1"/>
    <n v="12.3"/>
    <x v="218"/>
    <x v="0"/>
    <s v="No"/>
    <n v="0"/>
    <s v="24-48h"/>
    <s v="Slow"/>
    <n v="1"/>
  </r>
  <r>
    <s v="Tkt-0559"/>
    <d v="2026-02-12T15:00:00"/>
    <x v="0"/>
    <x v="2"/>
    <x v="3"/>
    <x v="1"/>
    <x v="0"/>
    <n v="10"/>
    <x v="168"/>
    <x v="0"/>
    <s v="No"/>
    <n v="0"/>
    <s v="Within 24h"/>
    <s v="Slow"/>
    <n v="1"/>
  </r>
  <r>
    <s v="Tkt-0560"/>
    <d v="2026-01-03T02:00:00"/>
    <x v="0"/>
    <x v="0"/>
    <x v="2"/>
    <x v="1"/>
    <x v="0"/>
    <n v="3.7"/>
    <x v="219"/>
    <x v="0"/>
    <s v="Yes"/>
    <n v="1"/>
    <s v="Within 24h"/>
    <s v="Medium"/>
    <n v="1"/>
  </r>
  <r>
    <s v="Tkt-0561"/>
    <d v="2025-12-28T21:00:00"/>
    <x v="0"/>
    <x v="0"/>
    <x v="4"/>
    <x v="0"/>
    <x v="0"/>
    <n v="3.9"/>
    <x v="40"/>
    <x v="1"/>
    <s v="Yes"/>
    <n v="1"/>
    <s v="Within 24h"/>
    <s v="Medium"/>
    <n v="1"/>
  </r>
  <r>
    <s v="Tkt-0562"/>
    <d v="2026-02-25T04:00:00"/>
    <x v="1"/>
    <x v="2"/>
    <x v="0"/>
    <x v="3"/>
    <x v="1"/>
    <n v="6.7"/>
    <x v="220"/>
    <x v="0"/>
    <s v="No"/>
    <n v="0"/>
    <s v="Within 24h"/>
    <s v="Slow"/>
    <n v="1"/>
  </r>
  <r>
    <s v="Tkt-0563"/>
    <d v="2025-12-13T17:00:00"/>
    <x v="2"/>
    <x v="0"/>
    <x v="0"/>
    <x v="1"/>
    <x v="0"/>
    <n v="8.5"/>
    <x v="96"/>
    <x v="2"/>
    <s v="No"/>
    <n v="0"/>
    <s v="Within 24h"/>
    <s v="Slow"/>
    <n v="1"/>
  </r>
  <r>
    <s v="Tkt-0564"/>
    <d v="2026-02-08T15:00:00"/>
    <x v="0"/>
    <x v="2"/>
    <x v="3"/>
    <x v="1"/>
    <x v="0"/>
    <n v="0.1"/>
    <x v="66"/>
    <x v="1"/>
    <s v="Yes"/>
    <n v="1"/>
    <s v="Within 24h"/>
    <s v="Fast"/>
    <n v="1"/>
  </r>
  <r>
    <s v="Tkt-0565"/>
    <d v="2025-12-21T00:00:00"/>
    <x v="0"/>
    <x v="1"/>
    <x v="0"/>
    <x v="0"/>
    <x v="0"/>
    <n v="0.1"/>
    <x v="8"/>
    <x v="3"/>
    <s v="Yes"/>
    <n v="1"/>
    <s v="Within 24h"/>
    <s v="Fast"/>
    <n v="1"/>
  </r>
  <r>
    <s v="Tkt-0566"/>
    <d v="2025-12-20T11:00:00"/>
    <x v="0"/>
    <x v="1"/>
    <x v="0"/>
    <x v="0"/>
    <x v="0"/>
    <n v="2.6"/>
    <x v="63"/>
    <x v="3"/>
    <s v="Yes"/>
    <n v="1"/>
    <s v="Within 24h"/>
    <s v="Medium"/>
    <n v="1"/>
  </r>
  <r>
    <s v="Tkt-0567"/>
    <d v="2026-02-17T17:00:00"/>
    <x v="0"/>
    <x v="0"/>
    <x v="0"/>
    <x v="0"/>
    <x v="0"/>
    <n v="5.7"/>
    <x v="5"/>
    <x v="1"/>
    <s v="No"/>
    <n v="0"/>
    <s v="Within 24h"/>
    <s v="Slow"/>
    <n v="1"/>
  </r>
  <r>
    <s v="Tkt-0568"/>
    <d v="2026-02-14T10:00:00"/>
    <x v="0"/>
    <x v="1"/>
    <x v="2"/>
    <x v="0"/>
    <x v="0"/>
    <n v="5.4"/>
    <x v="70"/>
    <x v="2"/>
    <s v="No"/>
    <n v="0"/>
    <s v="Within 24h"/>
    <s v="Slow"/>
    <n v="1"/>
  </r>
  <r>
    <s v="Tkt-0569"/>
    <d v="2026-02-13T04:00:00"/>
    <x v="0"/>
    <x v="1"/>
    <x v="1"/>
    <x v="0"/>
    <x v="0"/>
    <n v="6.9"/>
    <x v="13"/>
    <x v="1"/>
    <s v="No"/>
    <n v="0"/>
    <s v="Within 24h"/>
    <s v="Slow"/>
    <n v="1"/>
  </r>
  <r>
    <s v="Tkt-0570"/>
    <d v="2026-02-09T09:00:00"/>
    <x v="0"/>
    <x v="1"/>
    <x v="3"/>
    <x v="1"/>
    <x v="0"/>
    <n v="1.2"/>
    <x v="221"/>
    <x v="1"/>
    <s v="Yes"/>
    <n v="1"/>
    <s v="24-48h"/>
    <s v="Medium"/>
    <n v="1"/>
  </r>
  <r>
    <s v="Tkt-0571"/>
    <d v="2026-01-22T08:00:00"/>
    <x v="0"/>
    <x v="0"/>
    <x v="1"/>
    <x v="1"/>
    <x v="0"/>
    <n v="0.1"/>
    <x v="66"/>
    <x v="1"/>
    <s v="Yes"/>
    <n v="1"/>
    <s v="Within 24h"/>
    <s v="Fast"/>
    <n v="1"/>
  </r>
  <r>
    <s v="Tkt-0572"/>
    <d v="2026-01-25T11:00:00"/>
    <x v="0"/>
    <x v="1"/>
    <x v="3"/>
    <x v="0"/>
    <x v="0"/>
    <n v="6.3"/>
    <x v="182"/>
    <x v="1"/>
    <s v="No"/>
    <n v="0"/>
    <s v="Within 24h"/>
    <s v="Slow"/>
    <n v="1"/>
  </r>
  <r>
    <s v="Tkt-0573"/>
    <d v="2025-12-29T09:00:00"/>
    <x v="0"/>
    <x v="2"/>
    <x v="3"/>
    <x v="0"/>
    <x v="0"/>
    <n v="2.1"/>
    <x v="123"/>
    <x v="0"/>
    <s v="Yes"/>
    <n v="1"/>
    <s v="Within 24h"/>
    <s v="Medium"/>
    <n v="1"/>
  </r>
  <r>
    <s v="Tkt-0574"/>
    <d v="2026-01-28T10:00:00"/>
    <x v="0"/>
    <x v="0"/>
    <x v="0"/>
    <x v="0"/>
    <x v="0"/>
    <n v="0.1"/>
    <x v="100"/>
    <x v="3"/>
    <s v="Yes"/>
    <n v="1"/>
    <s v="Within 24h"/>
    <s v="Fast"/>
    <n v="1"/>
  </r>
  <r>
    <s v="Tkt-0575"/>
    <d v="2025-12-20T20:00:00"/>
    <x v="0"/>
    <x v="0"/>
    <x v="4"/>
    <x v="1"/>
    <x v="0"/>
    <n v="4.5999999999999996"/>
    <x v="3"/>
    <x v="2"/>
    <s v="No"/>
    <n v="0"/>
    <s v="Within 24h"/>
    <s v="Slow"/>
    <n v="1"/>
  </r>
  <r>
    <s v="Tkt-0576"/>
    <d v="2026-01-10T18:00:00"/>
    <x v="1"/>
    <x v="0"/>
    <x v="1"/>
    <x v="4"/>
    <x v="2"/>
    <n v="6.2"/>
    <x v="79"/>
    <x v="0"/>
    <s v="No"/>
    <n v="0"/>
    <s v="Within 24h"/>
    <s v="Slow"/>
    <n v="1"/>
  </r>
  <r>
    <s v="Tkt-0577"/>
    <d v="2025-12-14T08:00:00"/>
    <x v="0"/>
    <x v="1"/>
    <x v="4"/>
    <x v="1"/>
    <x v="0"/>
    <n v="3.9"/>
    <x v="222"/>
    <x v="3"/>
    <s v="Yes"/>
    <n v="1"/>
    <s v="Within 24h"/>
    <s v="Medium"/>
    <n v="1"/>
  </r>
  <r>
    <s v="Tkt-0578"/>
    <d v="2026-02-11T22:00:00"/>
    <x v="0"/>
    <x v="1"/>
    <x v="3"/>
    <x v="0"/>
    <x v="0"/>
    <n v="3.1"/>
    <x v="102"/>
    <x v="1"/>
    <s v="Yes"/>
    <n v="1"/>
    <s v="Within 24h"/>
    <s v="Medium"/>
    <n v="1"/>
  </r>
  <r>
    <s v="Tkt-0579"/>
    <d v="2026-01-24T11:00:00"/>
    <x v="0"/>
    <x v="1"/>
    <x v="4"/>
    <x v="1"/>
    <x v="0"/>
    <n v="3.8"/>
    <x v="134"/>
    <x v="3"/>
    <s v="Yes"/>
    <n v="1"/>
    <s v="Within 24h"/>
    <s v="Medium"/>
    <n v="1"/>
  </r>
  <r>
    <s v="Tkt-0580"/>
    <d v="2026-01-16T08:00:00"/>
    <x v="0"/>
    <x v="0"/>
    <x v="0"/>
    <x v="1"/>
    <x v="0"/>
    <n v="3.3"/>
    <x v="83"/>
    <x v="3"/>
    <s v="Yes"/>
    <n v="1"/>
    <s v="Within 24h"/>
    <s v="Medium"/>
    <n v="1"/>
  </r>
  <r>
    <s v="Tkt-0581"/>
    <d v="2026-01-26T00:00:00"/>
    <x v="0"/>
    <x v="0"/>
    <x v="2"/>
    <x v="0"/>
    <x v="0"/>
    <n v="0.8"/>
    <x v="65"/>
    <x v="0"/>
    <s v="Yes"/>
    <n v="1"/>
    <s v="Within 24h"/>
    <s v="Fast"/>
    <n v="1"/>
  </r>
  <r>
    <s v="Tkt-0582"/>
    <d v="2026-01-23T01:00:00"/>
    <x v="0"/>
    <x v="1"/>
    <x v="3"/>
    <x v="1"/>
    <x v="0"/>
    <n v="2.4"/>
    <x v="54"/>
    <x v="0"/>
    <s v="Yes"/>
    <n v="1"/>
    <s v="Within 24h"/>
    <s v="Medium"/>
    <n v="1"/>
  </r>
  <r>
    <s v="Tkt-0583"/>
    <d v="2026-01-21T06:00:00"/>
    <x v="0"/>
    <x v="1"/>
    <x v="3"/>
    <x v="0"/>
    <x v="0"/>
    <n v="5.5"/>
    <x v="42"/>
    <x v="2"/>
    <s v="No"/>
    <n v="0"/>
    <s v="Within 24h"/>
    <s v="Slow"/>
    <n v="1"/>
  </r>
  <r>
    <s v="Tkt-0584"/>
    <d v="2025-12-16T03:00:00"/>
    <x v="0"/>
    <x v="2"/>
    <x v="4"/>
    <x v="1"/>
    <x v="0"/>
    <n v="5"/>
    <x v="51"/>
    <x v="1"/>
    <s v="No"/>
    <n v="0"/>
    <s v="Within 24h"/>
    <s v="Slow"/>
    <n v="1"/>
  </r>
  <r>
    <s v="Tkt-0585"/>
    <d v="2025-12-28T20:00:00"/>
    <x v="0"/>
    <x v="0"/>
    <x v="4"/>
    <x v="1"/>
    <x v="0"/>
    <n v="4.5999999999999996"/>
    <x v="171"/>
    <x v="1"/>
    <s v="No"/>
    <n v="0"/>
    <s v="Within 24h"/>
    <s v="Slow"/>
    <n v="1"/>
  </r>
  <r>
    <s v="Tkt-0586"/>
    <d v="2026-01-02T07:00:00"/>
    <x v="2"/>
    <x v="1"/>
    <x v="0"/>
    <x v="1"/>
    <x v="0"/>
    <n v="1.7"/>
    <x v="223"/>
    <x v="1"/>
    <s v="Yes"/>
    <n v="1"/>
    <s v="24-48h"/>
    <s v="Medium"/>
    <n v="1"/>
  </r>
  <r>
    <s v="Tkt-0587"/>
    <d v="2025-12-29T13:00:00"/>
    <x v="1"/>
    <x v="0"/>
    <x v="4"/>
    <x v="0"/>
    <x v="0"/>
    <n v="3.7"/>
    <x v="77"/>
    <x v="3"/>
    <s v="Yes"/>
    <n v="1"/>
    <s v="Within 24h"/>
    <s v="Medium"/>
    <n v="1"/>
  </r>
  <r>
    <s v="Tkt-0588"/>
    <d v="2026-01-17T07:00:00"/>
    <x v="1"/>
    <x v="1"/>
    <x v="0"/>
    <x v="4"/>
    <x v="2"/>
    <n v="0.1"/>
    <x v="137"/>
    <x v="3"/>
    <s v="Yes"/>
    <n v="1"/>
    <s v="Within 24h"/>
    <s v="Fast"/>
    <n v="1"/>
  </r>
  <r>
    <s v="Tkt-0589"/>
    <d v="2025-12-21T12:00:00"/>
    <x v="1"/>
    <x v="1"/>
    <x v="4"/>
    <x v="4"/>
    <x v="2"/>
    <n v="4.5999999999999996"/>
    <x v="37"/>
    <x v="1"/>
    <s v="No"/>
    <n v="0"/>
    <s v="Within 24h"/>
    <s v="Slow"/>
    <n v="1"/>
  </r>
  <r>
    <s v="Tkt-0590"/>
    <d v="2026-01-01T14:00:00"/>
    <x v="1"/>
    <x v="1"/>
    <x v="2"/>
    <x v="0"/>
    <x v="0"/>
    <n v="7.8"/>
    <x v="43"/>
    <x v="2"/>
    <s v="No"/>
    <n v="0"/>
    <s v="Within 24h"/>
    <s v="Slow"/>
    <n v="1"/>
  </r>
  <r>
    <s v="Tkt-0591"/>
    <d v="2026-02-04T02:00:00"/>
    <x v="0"/>
    <x v="2"/>
    <x v="2"/>
    <x v="4"/>
    <x v="2"/>
    <n v="0.5"/>
    <x v="159"/>
    <x v="3"/>
    <s v="Yes"/>
    <n v="1"/>
    <s v="Within 24h"/>
    <s v="Fast"/>
    <n v="1"/>
  </r>
  <r>
    <s v="Tkt-0592"/>
    <d v="2026-01-29T06:00:00"/>
    <x v="1"/>
    <x v="0"/>
    <x v="4"/>
    <x v="0"/>
    <x v="0"/>
    <n v="2.7"/>
    <x v="34"/>
    <x v="2"/>
    <s v="Yes"/>
    <n v="1"/>
    <s v="Within 24h"/>
    <s v="Medium"/>
    <n v="1"/>
  </r>
  <r>
    <s v="Tkt-0593"/>
    <d v="2026-01-10T17:00:00"/>
    <x v="0"/>
    <x v="0"/>
    <x v="3"/>
    <x v="0"/>
    <x v="0"/>
    <n v="5"/>
    <x v="4"/>
    <x v="3"/>
    <s v="No"/>
    <n v="0"/>
    <s v="Within 24h"/>
    <s v="Slow"/>
    <n v="1"/>
  </r>
  <r>
    <s v="Tkt-0594"/>
    <d v="2026-01-07T23:00:00"/>
    <x v="0"/>
    <x v="1"/>
    <x v="0"/>
    <x v="1"/>
    <x v="0"/>
    <n v="7.3"/>
    <x v="212"/>
    <x v="0"/>
    <s v="No"/>
    <n v="0"/>
    <s v="Within 24h"/>
    <s v="Slow"/>
    <n v="1"/>
  </r>
  <r>
    <s v="Tkt-0595"/>
    <d v="2026-01-19T01:00:00"/>
    <x v="0"/>
    <x v="1"/>
    <x v="2"/>
    <x v="0"/>
    <x v="0"/>
    <n v="3.1"/>
    <x v="28"/>
    <x v="0"/>
    <s v="Yes"/>
    <n v="1"/>
    <s v="Within 24h"/>
    <s v="Medium"/>
    <n v="1"/>
  </r>
  <r>
    <s v="Tkt-0596"/>
    <d v="2025-12-30T02:00:00"/>
    <x v="0"/>
    <x v="0"/>
    <x v="0"/>
    <x v="4"/>
    <x v="2"/>
    <n v="2.5"/>
    <x v="45"/>
    <x v="1"/>
    <s v="Yes"/>
    <n v="1"/>
    <s v="Within 24h"/>
    <s v="Medium"/>
    <n v="1"/>
  </r>
  <r>
    <s v="Tkt-0597"/>
    <d v="2026-01-11T12:00:00"/>
    <x v="1"/>
    <x v="0"/>
    <x v="3"/>
    <x v="0"/>
    <x v="0"/>
    <n v="0.1"/>
    <x v="140"/>
    <x v="0"/>
    <s v="Yes"/>
    <n v="1"/>
    <s v="Within 24h"/>
    <s v="Fast"/>
    <n v="1"/>
  </r>
  <r>
    <s v="Tkt-0598"/>
    <d v="2025-12-06T04:00:00"/>
    <x v="1"/>
    <x v="0"/>
    <x v="0"/>
    <x v="1"/>
    <x v="0"/>
    <n v="4.5"/>
    <x v="5"/>
    <x v="3"/>
    <s v="No"/>
    <n v="0"/>
    <s v="Within 24h"/>
    <s v="Slow"/>
    <n v="1"/>
  </r>
  <r>
    <s v="Tkt-0599"/>
    <d v="2026-02-09T09:00:00"/>
    <x v="2"/>
    <x v="2"/>
    <x v="0"/>
    <x v="0"/>
    <x v="0"/>
    <n v="9.3000000000000007"/>
    <x v="216"/>
    <x v="3"/>
    <s v="No"/>
    <n v="0"/>
    <s v="Within 24h"/>
    <s v="Slow"/>
    <n v="1"/>
  </r>
  <r>
    <s v="Tkt-0600"/>
    <d v="2026-02-24T20:00:00"/>
    <x v="1"/>
    <x v="0"/>
    <x v="4"/>
    <x v="4"/>
    <x v="2"/>
    <n v="4.9000000000000004"/>
    <x v="142"/>
    <x v="0"/>
    <s v="No"/>
    <n v="0"/>
    <s v="Within 24h"/>
    <s v="Slow"/>
    <n v="1"/>
  </r>
  <r>
    <s v="Tkt-0601"/>
    <d v="2025-12-26T06:00:00"/>
    <x v="0"/>
    <x v="0"/>
    <x v="0"/>
    <x v="0"/>
    <x v="0"/>
    <n v="4.0999999999999996"/>
    <x v="219"/>
    <x v="0"/>
    <s v="No"/>
    <n v="0"/>
    <s v="Within 24h"/>
    <s v="Slow"/>
    <n v="1"/>
  </r>
  <r>
    <s v="Tkt-0602"/>
    <d v="2026-01-17T21:00:00"/>
    <x v="1"/>
    <x v="0"/>
    <x v="4"/>
    <x v="4"/>
    <x v="2"/>
    <n v="5"/>
    <x v="224"/>
    <x v="0"/>
    <s v="No"/>
    <n v="0"/>
    <s v="Within 24h"/>
    <s v="Slow"/>
    <n v="1"/>
  </r>
  <r>
    <s v="Tkt-0603"/>
    <d v="2026-01-03T21:00:00"/>
    <x v="1"/>
    <x v="0"/>
    <x v="3"/>
    <x v="1"/>
    <x v="0"/>
    <n v="4.2"/>
    <x v="130"/>
    <x v="1"/>
    <s v="No"/>
    <n v="0"/>
    <s v="Within 24h"/>
    <s v="Slow"/>
    <n v="1"/>
  </r>
  <r>
    <s v="Tkt-0604"/>
    <d v="2025-12-23T10:00:00"/>
    <x v="1"/>
    <x v="0"/>
    <x v="0"/>
    <x v="4"/>
    <x v="2"/>
    <n v="2.2000000000000002"/>
    <x v="130"/>
    <x v="0"/>
    <s v="Yes"/>
    <n v="1"/>
    <s v="Within 24h"/>
    <s v="Medium"/>
    <n v="1"/>
  </r>
  <r>
    <s v="Tkt-0605"/>
    <d v="2026-02-27T01:00:00"/>
    <x v="0"/>
    <x v="1"/>
    <x v="3"/>
    <x v="4"/>
    <x v="2"/>
    <n v="6.3"/>
    <x v="106"/>
    <x v="3"/>
    <s v="No"/>
    <n v="0"/>
    <s v="Within 24h"/>
    <s v="Slow"/>
    <n v="1"/>
  </r>
  <r>
    <s v="Tkt-0606"/>
    <d v="2026-02-10T11:00:00"/>
    <x v="0"/>
    <x v="0"/>
    <x v="0"/>
    <x v="0"/>
    <x v="0"/>
    <n v="4.8"/>
    <x v="191"/>
    <x v="0"/>
    <s v="No"/>
    <n v="0"/>
    <s v="Within 24h"/>
    <s v="Slow"/>
    <n v="1"/>
  </r>
  <r>
    <s v="Tkt-0607"/>
    <d v="2025-12-07T20:00:00"/>
    <x v="0"/>
    <x v="2"/>
    <x v="0"/>
    <x v="1"/>
    <x v="0"/>
    <n v="4.2"/>
    <x v="209"/>
    <x v="1"/>
    <s v="No"/>
    <n v="0"/>
    <s v="Within 24h"/>
    <s v="Slow"/>
    <n v="1"/>
  </r>
  <r>
    <s v="Tkt-0608"/>
    <d v="2026-02-19T09:00:00"/>
    <x v="0"/>
    <x v="0"/>
    <x v="4"/>
    <x v="0"/>
    <x v="0"/>
    <n v="1.8"/>
    <x v="182"/>
    <x v="1"/>
    <s v="Yes"/>
    <n v="1"/>
    <s v="Within 24h"/>
    <s v="Medium"/>
    <n v="1"/>
  </r>
  <r>
    <s v="Tkt-0609"/>
    <d v="2026-01-26T14:00:00"/>
    <x v="0"/>
    <x v="1"/>
    <x v="0"/>
    <x v="0"/>
    <x v="0"/>
    <n v="7.5"/>
    <x v="9"/>
    <x v="3"/>
    <s v="No"/>
    <n v="0"/>
    <s v="Within 24h"/>
    <s v="Slow"/>
    <n v="1"/>
  </r>
  <r>
    <s v="Tkt-0610"/>
    <d v="2025-12-11T02:00:00"/>
    <x v="2"/>
    <x v="2"/>
    <x v="2"/>
    <x v="0"/>
    <x v="0"/>
    <n v="5.9"/>
    <x v="122"/>
    <x v="3"/>
    <s v="No"/>
    <n v="0"/>
    <s v="Within 24h"/>
    <s v="Slow"/>
    <n v="1"/>
  </r>
  <r>
    <s v="Tkt-0611"/>
    <d v="2026-01-09T04:00:00"/>
    <x v="0"/>
    <x v="1"/>
    <x v="0"/>
    <x v="4"/>
    <x v="2"/>
    <n v="2.8"/>
    <x v="7"/>
    <x v="0"/>
    <s v="Yes"/>
    <n v="1"/>
    <s v="Within 24h"/>
    <s v="Medium"/>
    <n v="1"/>
  </r>
  <r>
    <s v="Tkt-0612"/>
    <d v="2026-02-18T14:00:00"/>
    <x v="0"/>
    <x v="1"/>
    <x v="0"/>
    <x v="1"/>
    <x v="0"/>
    <n v="6.7"/>
    <x v="2"/>
    <x v="3"/>
    <s v="No"/>
    <n v="0"/>
    <s v="Within 24h"/>
    <s v="Slow"/>
    <n v="1"/>
  </r>
  <r>
    <s v="Tkt-0613"/>
    <d v="2025-12-04T07:00:00"/>
    <x v="1"/>
    <x v="0"/>
    <x v="4"/>
    <x v="0"/>
    <x v="0"/>
    <n v="3"/>
    <x v="39"/>
    <x v="2"/>
    <s v="Yes"/>
    <n v="1"/>
    <s v="Within 24h"/>
    <s v="Medium"/>
    <n v="1"/>
  </r>
  <r>
    <s v="Tkt-0614"/>
    <d v="2026-01-11T14:00:00"/>
    <x v="0"/>
    <x v="0"/>
    <x v="3"/>
    <x v="1"/>
    <x v="0"/>
    <n v="2.2000000000000002"/>
    <x v="138"/>
    <x v="3"/>
    <s v="Yes"/>
    <n v="1"/>
    <s v="Within 24h"/>
    <s v="Medium"/>
    <n v="1"/>
  </r>
  <r>
    <s v="Tkt-0615"/>
    <d v="2025-12-10T02:00:00"/>
    <x v="0"/>
    <x v="1"/>
    <x v="0"/>
    <x v="3"/>
    <x v="1"/>
    <n v="2.2999999999999998"/>
    <x v="66"/>
    <x v="2"/>
    <s v="Yes"/>
    <n v="1"/>
    <s v="Within 24h"/>
    <s v="Medium"/>
    <n v="1"/>
  </r>
  <r>
    <s v="Tkt-0616"/>
    <d v="2025-12-28T07:00:00"/>
    <x v="2"/>
    <x v="2"/>
    <x v="3"/>
    <x v="0"/>
    <x v="0"/>
    <n v="0.1"/>
    <x v="5"/>
    <x v="2"/>
    <s v="Yes"/>
    <n v="1"/>
    <s v="Within 24h"/>
    <s v="Fast"/>
    <n v="1"/>
  </r>
  <r>
    <s v="Tkt-0617"/>
    <d v="2026-02-24T05:00:00"/>
    <x v="0"/>
    <x v="1"/>
    <x v="0"/>
    <x v="0"/>
    <x v="0"/>
    <n v="5.4"/>
    <x v="193"/>
    <x v="3"/>
    <s v="No"/>
    <n v="0"/>
    <s v="Within 24h"/>
    <s v="Slow"/>
    <n v="1"/>
  </r>
  <r>
    <s v="Tkt-0618"/>
    <d v="2026-02-20T17:00:00"/>
    <x v="0"/>
    <x v="1"/>
    <x v="2"/>
    <x v="0"/>
    <x v="0"/>
    <n v="0.1"/>
    <x v="109"/>
    <x v="2"/>
    <s v="Yes"/>
    <n v="1"/>
    <s v="Within 24h"/>
    <s v="Fast"/>
    <n v="1"/>
  </r>
  <r>
    <s v="Tkt-0619"/>
    <d v="2025-12-10T03:00:00"/>
    <x v="0"/>
    <x v="1"/>
    <x v="3"/>
    <x v="4"/>
    <x v="2"/>
    <n v="1.1000000000000001"/>
    <x v="132"/>
    <x v="3"/>
    <s v="Yes"/>
    <n v="1"/>
    <s v="Within 24h"/>
    <s v="Medium"/>
    <n v="1"/>
  </r>
  <r>
    <s v="Tkt-0620"/>
    <d v="2026-01-23T17:00:00"/>
    <x v="1"/>
    <x v="1"/>
    <x v="2"/>
    <x v="0"/>
    <x v="0"/>
    <n v="0.1"/>
    <x v="225"/>
    <x v="3"/>
    <s v="Yes"/>
    <n v="1"/>
    <s v="Within 24h"/>
    <s v="Fast"/>
    <n v="1"/>
  </r>
  <r>
    <s v="Tkt-0621"/>
    <d v="2026-02-17T11:00:00"/>
    <x v="0"/>
    <x v="0"/>
    <x v="2"/>
    <x v="4"/>
    <x v="2"/>
    <n v="4"/>
    <x v="5"/>
    <x v="1"/>
    <s v="No"/>
    <n v="0"/>
    <s v="Within 24h"/>
    <s v="Medium"/>
    <n v="1"/>
  </r>
  <r>
    <s v="Tkt-0622"/>
    <d v="2026-02-16T04:00:00"/>
    <x v="0"/>
    <x v="1"/>
    <x v="3"/>
    <x v="4"/>
    <x v="2"/>
    <n v="3.8"/>
    <x v="21"/>
    <x v="2"/>
    <s v="Yes"/>
    <n v="1"/>
    <s v="Within 24h"/>
    <s v="Medium"/>
    <n v="1"/>
  </r>
  <r>
    <s v="Tkt-0623"/>
    <d v="2026-02-16T10:00:00"/>
    <x v="0"/>
    <x v="2"/>
    <x v="1"/>
    <x v="0"/>
    <x v="0"/>
    <n v="3.4"/>
    <x v="79"/>
    <x v="2"/>
    <s v="Yes"/>
    <n v="1"/>
    <s v="Within 24h"/>
    <s v="Medium"/>
    <n v="1"/>
  </r>
  <r>
    <s v="Tkt-0624"/>
    <d v="2026-02-07T02:00:00"/>
    <x v="0"/>
    <x v="0"/>
    <x v="3"/>
    <x v="4"/>
    <x v="2"/>
    <n v="1.6"/>
    <x v="5"/>
    <x v="0"/>
    <s v="Yes"/>
    <n v="1"/>
    <s v="Within 24h"/>
    <s v="Medium"/>
    <n v="1"/>
  </r>
  <r>
    <s v="Tkt-0625"/>
    <d v="2026-01-22T00:00:00"/>
    <x v="0"/>
    <x v="1"/>
    <x v="1"/>
    <x v="1"/>
    <x v="0"/>
    <n v="1.3"/>
    <x v="39"/>
    <x v="3"/>
    <s v="Yes"/>
    <n v="1"/>
    <s v="Within 24h"/>
    <s v="Medium"/>
    <n v="1"/>
  </r>
  <r>
    <s v="Tkt-0626"/>
    <d v="2026-02-23T14:00:00"/>
    <x v="0"/>
    <x v="0"/>
    <x v="0"/>
    <x v="2"/>
    <x v="1"/>
    <n v="5.4"/>
    <x v="226"/>
    <x v="1"/>
    <s v="No"/>
    <n v="0"/>
    <s v="24-48h"/>
    <s v="Slow"/>
    <n v="1"/>
  </r>
  <r>
    <s v="Tkt-0627"/>
    <d v="2026-02-21T15:00:00"/>
    <x v="0"/>
    <x v="1"/>
    <x v="4"/>
    <x v="0"/>
    <x v="0"/>
    <n v="2.8"/>
    <x v="8"/>
    <x v="1"/>
    <s v="Yes"/>
    <n v="1"/>
    <s v="Within 24h"/>
    <s v="Medium"/>
    <n v="1"/>
  </r>
  <r>
    <s v="Tkt-0628"/>
    <d v="2026-01-14T13:00:00"/>
    <x v="2"/>
    <x v="0"/>
    <x v="3"/>
    <x v="0"/>
    <x v="0"/>
    <n v="5"/>
    <x v="219"/>
    <x v="0"/>
    <s v="No"/>
    <n v="0"/>
    <s v="Within 24h"/>
    <s v="Slow"/>
    <n v="1"/>
  </r>
  <r>
    <s v="Tkt-0629"/>
    <d v="2026-01-04T20:00:00"/>
    <x v="0"/>
    <x v="1"/>
    <x v="3"/>
    <x v="0"/>
    <x v="0"/>
    <n v="2"/>
    <x v="0"/>
    <x v="2"/>
    <s v="Yes"/>
    <n v="1"/>
    <s v="Within 24h"/>
    <s v="Medium"/>
    <n v="1"/>
  </r>
  <r>
    <s v="Tkt-0630"/>
    <d v="2026-01-28T08:00:00"/>
    <x v="0"/>
    <x v="2"/>
    <x v="4"/>
    <x v="0"/>
    <x v="0"/>
    <n v="4.7"/>
    <x v="5"/>
    <x v="1"/>
    <s v="No"/>
    <n v="0"/>
    <s v="Within 24h"/>
    <s v="Slow"/>
    <n v="1"/>
  </r>
  <r>
    <s v="Tkt-0631"/>
    <d v="2026-01-07T06:00:00"/>
    <x v="0"/>
    <x v="0"/>
    <x v="4"/>
    <x v="4"/>
    <x v="2"/>
    <n v="7.5"/>
    <x v="15"/>
    <x v="2"/>
    <s v="No"/>
    <n v="0"/>
    <s v="Within 24h"/>
    <s v="Slow"/>
    <n v="1"/>
  </r>
  <r>
    <s v="Tkt-0632"/>
    <d v="2025-12-03T19:00:00"/>
    <x v="0"/>
    <x v="1"/>
    <x v="0"/>
    <x v="1"/>
    <x v="0"/>
    <n v="5.7"/>
    <x v="4"/>
    <x v="1"/>
    <s v="No"/>
    <n v="0"/>
    <s v="Within 24h"/>
    <s v="Slow"/>
    <n v="1"/>
  </r>
  <r>
    <s v="Tkt-0633"/>
    <d v="2026-02-07T19:00:00"/>
    <x v="0"/>
    <x v="2"/>
    <x v="0"/>
    <x v="1"/>
    <x v="0"/>
    <n v="3.2"/>
    <x v="115"/>
    <x v="1"/>
    <s v="Yes"/>
    <n v="1"/>
    <s v="Within 24h"/>
    <s v="Medium"/>
    <n v="1"/>
  </r>
  <r>
    <s v="Tkt-0634"/>
    <d v="2026-02-18T05:00:00"/>
    <x v="1"/>
    <x v="2"/>
    <x v="4"/>
    <x v="3"/>
    <x v="1"/>
    <n v="4.8"/>
    <x v="110"/>
    <x v="3"/>
    <s v="No"/>
    <n v="0"/>
    <s v="Within 24h"/>
    <s v="Slow"/>
    <n v="1"/>
  </r>
  <r>
    <s v="Tkt-0635"/>
    <d v="2026-01-11T05:00:00"/>
    <x v="0"/>
    <x v="0"/>
    <x v="4"/>
    <x v="1"/>
    <x v="0"/>
    <n v="3.6"/>
    <x v="31"/>
    <x v="2"/>
    <s v="Yes"/>
    <n v="1"/>
    <s v="Within 24h"/>
    <s v="Medium"/>
    <n v="1"/>
  </r>
  <r>
    <s v="Tkt-0636"/>
    <d v="2025-12-03T17:00:00"/>
    <x v="0"/>
    <x v="0"/>
    <x v="1"/>
    <x v="0"/>
    <x v="0"/>
    <n v="4.2"/>
    <x v="227"/>
    <x v="1"/>
    <s v="No"/>
    <n v="0"/>
    <s v="Within 24h"/>
    <s v="Slow"/>
    <n v="1"/>
  </r>
  <r>
    <s v="Tkt-0637"/>
    <d v="2025-12-27T06:00:00"/>
    <x v="0"/>
    <x v="0"/>
    <x v="2"/>
    <x v="3"/>
    <x v="1"/>
    <n v="3.4"/>
    <x v="228"/>
    <x v="3"/>
    <s v="Yes"/>
    <n v="1"/>
    <s v="Within 24h"/>
    <s v="Medium"/>
    <n v="1"/>
  </r>
  <r>
    <s v="Tkt-0638"/>
    <d v="2026-02-10T17:00:00"/>
    <x v="0"/>
    <x v="2"/>
    <x v="1"/>
    <x v="1"/>
    <x v="0"/>
    <n v="3.8"/>
    <x v="16"/>
    <x v="1"/>
    <s v="Yes"/>
    <n v="1"/>
    <s v="Within 24h"/>
    <s v="Medium"/>
    <n v="1"/>
  </r>
  <r>
    <s v="Tkt-0639"/>
    <d v="2025-12-31T04:00:00"/>
    <x v="0"/>
    <x v="2"/>
    <x v="4"/>
    <x v="4"/>
    <x v="2"/>
    <n v="4.7"/>
    <x v="5"/>
    <x v="3"/>
    <s v="No"/>
    <n v="0"/>
    <s v="Within 24h"/>
    <s v="Slow"/>
    <n v="1"/>
  </r>
  <r>
    <s v="Tkt-0640"/>
    <d v="2026-01-27T10:00:00"/>
    <x v="2"/>
    <x v="1"/>
    <x v="0"/>
    <x v="4"/>
    <x v="2"/>
    <n v="1.7"/>
    <x v="5"/>
    <x v="3"/>
    <s v="Yes"/>
    <n v="1"/>
    <s v="Within 24h"/>
    <s v="Medium"/>
    <n v="1"/>
  </r>
  <r>
    <s v="Tkt-0641"/>
    <d v="2026-01-27T03:00:00"/>
    <x v="0"/>
    <x v="2"/>
    <x v="0"/>
    <x v="0"/>
    <x v="0"/>
    <n v="1.7"/>
    <x v="104"/>
    <x v="2"/>
    <s v="Yes"/>
    <n v="1"/>
    <s v="Within 24h"/>
    <s v="Medium"/>
    <n v="1"/>
  </r>
  <r>
    <s v="Tkt-0642"/>
    <d v="2026-02-27T10:00:00"/>
    <x v="0"/>
    <x v="1"/>
    <x v="2"/>
    <x v="1"/>
    <x v="0"/>
    <n v="0.7"/>
    <x v="96"/>
    <x v="3"/>
    <s v="Yes"/>
    <n v="1"/>
    <s v="Within 24h"/>
    <s v="Fast"/>
    <n v="1"/>
  </r>
  <r>
    <s v="Tkt-0643"/>
    <d v="2026-01-23T03:00:00"/>
    <x v="0"/>
    <x v="1"/>
    <x v="4"/>
    <x v="1"/>
    <x v="0"/>
    <n v="0.2"/>
    <x v="29"/>
    <x v="1"/>
    <s v="Yes"/>
    <n v="1"/>
    <s v="Within 24h"/>
    <s v="Fast"/>
    <n v="1"/>
  </r>
  <r>
    <s v="Tkt-0644"/>
    <d v="2025-12-21T19:00:00"/>
    <x v="1"/>
    <x v="0"/>
    <x v="0"/>
    <x v="0"/>
    <x v="0"/>
    <n v="1.2"/>
    <x v="173"/>
    <x v="0"/>
    <s v="Yes"/>
    <n v="1"/>
    <s v="Within 24h"/>
    <s v="Medium"/>
    <n v="1"/>
  </r>
  <r>
    <s v="Tkt-0645"/>
    <d v="2026-02-19T10:00:00"/>
    <x v="0"/>
    <x v="2"/>
    <x v="3"/>
    <x v="4"/>
    <x v="2"/>
    <n v="4.5999999999999996"/>
    <x v="11"/>
    <x v="1"/>
    <s v="No"/>
    <n v="0"/>
    <s v="Within 24h"/>
    <s v="Slow"/>
    <n v="1"/>
  </r>
  <r>
    <s v="Tkt-0646"/>
    <d v="2026-01-15T06:00:00"/>
    <x v="0"/>
    <x v="0"/>
    <x v="1"/>
    <x v="1"/>
    <x v="0"/>
    <n v="2"/>
    <x v="4"/>
    <x v="1"/>
    <s v="Yes"/>
    <n v="1"/>
    <s v="Within 24h"/>
    <s v="Medium"/>
    <n v="1"/>
  </r>
  <r>
    <s v="Tkt-0647"/>
    <d v="2026-01-21T04:00:00"/>
    <x v="0"/>
    <x v="2"/>
    <x v="3"/>
    <x v="1"/>
    <x v="0"/>
    <n v="5.5"/>
    <x v="5"/>
    <x v="3"/>
    <s v="No"/>
    <n v="0"/>
    <s v="Within 24h"/>
    <s v="Slow"/>
    <n v="1"/>
  </r>
  <r>
    <s v="Tkt-0648"/>
    <d v="2026-01-05T02:00:00"/>
    <x v="0"/>
    <x v="2"/>
    <x v="3"/>
    <x v="0"/>
    <x v="0"/>
    <n v="4.3"/>
    <x v="204"/>
    <x v="1"/>
    <s v="No"/>
    <n v="0"/>
    <s v="Within 24h"/>
    <s v="Slow"/>
    <n v="1"/>
  </r>
  <r>
    <s v="Tkt-0649"/>
    <d v="2026-01-27T10:00:00"/>
    <x v="0"/>
    <x v="1"/>
    <x v="3"/>
    <x v="0"/>
    <x v="0"/>
    <n v="0.1"/>
    <x v="138"/>
    <x v="3"/>
    <s v="Yes"/>
    <n v="1"/>
    <s v="Within 24h"/>
    <s v="Fast"/>
    <n v="1"/>
  </r>
  <r>
    <s v="Tkt-0650"/>
    <d v="2026-01-21T18:00:00"/>
    <x v="1"/>
    <x v="0"/>
    <x v="0"/>
    <x v="0"/>
    <x v="0"/>
    <n v="5.8"/>
    <x v="73"/>
    <x v="2"/>
    <s v="No"/>
    <n v="0"/>
    <s v="Within 24h"/>
    <s v="Slow"/>
    <n v="1"/>
  </r>
  <r>
    <s v="Tkt-0651"/>
    <d v="2026-01-10T09:00:00"/>
    <x v="0"/>
    <x v="0"/>
    <x v="3"/>
    <x v="1"/>
    <x v="0"/>
    <n v="6.2"/>
    <x v="97"/>
    <x v="3"/>
    <s v="No"/>
    <n v="0"/>
    <s v="Within 24h"/>
    <s v="Slow"/>
    <n v="1"/>
  </r>
  <r>
    <s v="Tkt-0652"/>
    <d v="2026-02-15T17:00:00"/>
    <x v="0"/>
    <x v="0"/>
    <x v="3"/>
    <x v="0"/>
    <x v="0"/>
    <n v="1.7"/>
    <x v="78"/>
    <x v="2"/>
    <s v="Yes"/>
    <n v="1"/>
    <s v="Within 24h"/>
    <s v="Medium"/>
    <n v="1"/>
  </r>
  <r>
    <s v="Tkt-0653"/>
    <d v="2026-01-11T06:00:00"/>
    <x v="0"/>
    <x v="0"/>
    <x v="0"/>
    <x v="4"/>
    <x v="2"/>
    <n v="5.3"/>
    <x v="5"/>
    <x v="0"/>
    <s v="No"/>
    <n v="0"/>
    <s v="Within 24h"/>
    <s v="Slow"/>
    <n v="1"/>
  </r>
  <r>
    <s v="Tkt-0654"/>
    <d v="2026-01-14T06:00:00"/>
    <x v="0"/>
    <x v="0"/>
    <x v="2"/>
    <x v="3"/>
    <x v="1"/>
    <n v="2.1"/>
    <x v="167"/>
    <x v="1"/>
    <s v="Yes"/>
    <n v="1"/>
    <s v="Within 24h"/>
    <s v="Medium"/>
    <n v="1"/>
  </r>
  <r>
    <s v="Tkt-0655"/>
    <d v="2026-01-22T02:00:00"/>
    <x v="1"/>
    <x v="2"/>
    <x v="3"/>
    <x v="4"/>
    <x v="2"/>
    <n v="4.4000000000000004"/>
    <x v="179"/>
    <x v="2"/>
    <s v="No"/>
    <n v="0"/>
    <s v="Within 24h"/>
    <s v="Slow"/>
    <n v="1"/>
  </r>
  <r>
    <s v="Tkt-0656"/>
    <d v="2026-01-23T00:00:00"/>
    <x v="0"/>
    <x v="1"/>
    <x v="2"/>
    <x v="1"/>
    <x v="0"/>
    <n v="1"/>
    <x v="18"/>
    <x v="0"/>
    <s v="Yes"/>
    <n v="1"/>
    <s v="Within 24h"/>
    <s v="Fast"/>
    <n v="1"/>
  </r>
  <r>
    <s v="Tkt-0657"/>
    <d v="2025-12-06T12:00:00"/>
    <x v="0"/>
    <x v="0"/>
    <x v="2"/>
    <x v="1"/>
    <x v="0"/>
    <n v="0.1"/>
    <x v="9"/>
    <x v="3"/>
    <s v="Yes"/>
    <n v="1"/>
    <s v="Within 24h"/>
    <s v="Fast"/>
    <n v="1"/>
  </r>
  <r>
    <s v="Tkt-0658"/>
    <d v="2026-01-25T00:00:00"/>
    <x v="0"/>
    <x v="0"/>
    <x v="0"/>
    <x v="0"/>
    <x v="0"/>
    <n v="3.2"/>
    <x v="229"/>
    <x v="0"/>
    <s v="Yes"/>
    <n v="1"/>
    <s v="Within 24h"/>
    <s v="Medium"/>
    <n v="1"/>
  </r>
  <r>
    <s v="Tkt-0659"/>
    <d v="2025-12-18T03:00:00"/>
    <x v="0"/>
    <x v="1"/>
    <x v="4"/>
    <x v="0"/>
    <x v="0"/>
    <n v="3.9"/>
    <x v="147"/>
    <x v="2"/>
    <s v="Yes"/>
    <n v="1"/>
    <s v="Within 24h"/>
    <s v="Medium"/>
    <n v="1"/>
  </r>
  <r>
    <s v="Tkt-0660"/>
    <d v="2026-02-22T05:00:00"/>
    <x v="0"/>
    <x v="1"/>
    <x v="3"/>
    <x v="1"/>
    <x v="0"/>
    <n v="3.2"/>
    <x v="207"/>
    <x v="1"/>
    <s v="Yes"/>
    <n v="1"/>
    <s v="Within 24h"/>
    <s v="Medium"/>
    <n v="1"/>
  </r>
  <r>
    <s v="Tkt-0661"/>
    <d v="2025-12-27T15:00:00"/>
    <x v="0"/>
    <x v="1"/>
    <x v="2"/>
    <x v="1"/>
    <x v="0"/>
    <n v="1.2"/>
    <x v="160"/>
    <x v="0"/>
    <s v="Yes"/>
    <n v="1"/>
    <s v="Within 24h"/>
    <s v="Medium"/>
    <n v="1"/>
  </r>
  <r>
    <s v="Tkt-0662"/>
    <d v="2026-01-30T05:00:00"/>
    <x v="0"/>
    <x v="2"/>
    <x v="0"/>
    <x v="3"/>
    <x v="1"/>
    <n v="3.2"/>
    <x v="12"/>
    <x v="0"/>
    <s v="Yes"/>
    <n v="1"/>
    <s v="Within 24h"/>
    <s v="Medium"/>
    <n v="1"/>
  </r>
  <r>
    <s v="Tkt-0663"/>
    <d v="2026-01-14T17:00:00"/>
    <x v="0"/>
    <x v="1"/>
    <x v="4"/>
    <x v="3"/>
    <x v="1"/>
    <n v="4.9000000000000004"/>
    <x v="198"/>
    <x v="3"/>
    <s v="No"/>
    <n v="0"/>
    <s v="Within 24h"/>
    <s v="Slow"/>
    <n v="1"/>
  </r>
  <r>
    <s v="Tkt-0664"/>
    <d v="2025-12-09T18:00:00"/>
    <x v="1"/>
    <x v="2"/>
    <x v="4"/>
    <x v="0"/>
    <x v="0"/>
    <n v="4.0999999999999996"/>
    <x v="23"/>
    <x v="3"/>
    <s v="No"/>
    <n v="0"/>
    <s v="Within 24h"/>
    <s v="Slow"/>
    <n v="1"/>
  </r>
  <r>
    <s v="Tkt-0665"/>
    <d v="2025-12-11T16:00:00"/>
    <x v="1"/>
    <x v="2"/>
    <x v="0"/>
    <x v="1"/>
    <x v="0"/>
    <n v="4.7"/>
    <x v="17"/>
    <x v="1"/>
    <s v="No"/>
    <n v="0"/>
    <s v="Within 24h"/>
    <s v="Slow"/>
    <n v="1"/>
  </r>
  <r>
    <s v="Tkt-0666"/>
    <d v="2025-12-04T01:00:00"/>
    <x v="0"/>
    <x v="0"/>
    <x v="0"/>
    <x v="0"/>
    <x v="0"/>
    <n v="2.5"/>
    <x v="29"/>
    <x v="3"/>
    <s v="Yes"/>
    <n v="1"/>
    <s v="Within 24h"/>
    <s v="Medium"/>
    <n v="1"/>
  </r>
  <r>
    <s v="Tkt-0667"/>
    <d v="2025-12-06T03:00:00"/>
    <x v="1"/>
    <x v="2"/>
    <x v="4"/>
    <x v="4"/>
    <x v="2"/>
    <n v="7.1"/>
    <x v="36"/>
    <x v="2"/>
    <s v="No"/>
    <n v="0"/>
    <s v="Within 24h"/>
    <s v="Slow"/>
    <n v="1"/>
  </r>
  <r>
    <s v="Tkt-0668"/>
    <d v="2026-02-11T04:00:00"/>
    <x v="1"/>
    <x v="0"/>
    <x v="4"/>
    <x v="2"/>
    <x v="1"/>
    <n v="1.3"/>
    <x v="1"/>
    <x v="2"/>
    <s v="Yes"/>
    <n v="1"/>
    <s v="Within 24h"/>
    <s v="Medium"/>
    <n v="1"/>
  </r>
  <r>
    <s v="Tkt-0669"/>
    <d v="2026-02-16T04:00:00"/>
    <x v="0"/>
    <x v="2"/>
    <x v="3"/>
    <x v="1"/>
    <x v="0"/>
    <n v="5.4"/>
    <x v="7"/>
    <x v="0"/>
    <s v="No"/>
    <n v="0"/>
    <s v="Within 24h"/>
    <s v="Slow"/>
    <n v="1"/>
  </r>
  <r>
    <s v="Tkt-0670"/>
    <d v="2025-12-08T23:00:00"/>
    <x v="1"/>
    <x v="0"/>
    <x v="4"/>
    <x v="4"/>
    <x v="2"/>
    <n v="7.2"/>
    <x v="80"/>
    <x v="3"/>
    <s v="No"/>
    <n v="0"/>
    <s v="Within 24h"/>
    <s v="Slow"/>
    <n v="1"/>
  </r>
  <r>
    <s v="Tkt-0671"/>
    <d v="2026-01-20T10:00:00"/>
    <x v="0"/>
    <x v="2"/>
    <x v="3"/>
    <x v="3"/>
    <x v="1"/>
    <n v="5.4"/>
    <x v="100"/>
    <x v="3"/>
    <s v="No"/>
    <n v="0"/>
    <s v="Within 24h"/>
    <s v="Slow"/>
    <n v="1"/>
  </r>
  <r>
    <s v="Tkt-0672"/>
    <d v="2026-02-24T06:00:00"/>
    <x v="1"/>
    <x v="2"/>
    <x v="4"/>
    <x v="0"/>
    <x v="0"/>
    <n v="3.7"/>
    <x v="152"/>
    <x v="0"/>
    <s v="Yes"/>
    <n v="1"/>
    <s v="Within 24h"/>
    <s v="Medium"/>
    <n v="1"/>
  </r>
  <r>
    <s v="Tkt-0673"/>
    <d v="2026-01-13T01:00:00"/>
    <x v="0"/>
    <x v="2"/>
    <x v="0"/>
    <x v="3"/>
    <x v="1"/>
    <n v="2.9"/>
    <x v="182"/>
    <x v="1"/>
    <s v="Yes"/>
    <n v="1"/>
    <s v="Within 24h"/>
    <s v="Medium"/>
    <n v="1"/>
  </r>
  <r>
    <s v="Tkt-0674"/>
    <d v="2026-02-12T22:00:00"/>
    <x v="0"/>
    <x v="2"/>
    <x v="2"/>
    <x v="0"/>
    <x v="0"/>
    <n v="6.8"/>
    <x v="129"/>
    <x v="3"/>
    <s v="No"/>
    <n v="0"/>
    <s v="Within 24h"/>
    <s v="Slow"/>
    <n v="1"/>
  </r>
  <r>
    <s v="Tkt-0675"/>
    <d v="2026-01-22T14:00:00"/>
    <x v="0"/>
    <x v="0"/>
    <x v="0"/>
    <x v="1"/>
    <x v="0"/>
    <n v="0.6"/>
    <x v="207"/>
    <x v="3"/>
    <s v="Yes"/>
    <n v="1"/>
    <s v="Within 24h"/>
    <s v="Fast"/>
    <n v="1"/>
  </r>
  <r>
    <s v="Tkt-0676"/>
    <d v="2026-01-06T19:00:00"/>
    <x v="1"/>
    <x v="0"/>
    <x v="3"/>
    <x v="4"/>
    <x v="2"/>
    <n v="1.8"/>
    <x v="5"/>
    <x v="1"/>
    <s v="Yes"/>
    <n v="1"/>
    <s v="Within 24h"/>
    <s v="Medium"/>
    <n v="1"/>
  </r>
  <r>
    <s v="Tkt-0677"/>
    <d v="2026-02-03T20:00:00"/>
    <x v="0"/>
    <x v="0"/>
    <x v="0"/>
    <x v="1"/>
    <x v="0"/>
    <n v="3.2"/>
    <x v="1"/>
    <x v="3"/>
    <s v="Yes"/>
    <n v="1"/>
    <s v="Within 24h"/>
    <s v="Medium"/>
    <n v="1"/>
  </r>
  <r>
    <s v="Tkt-0678"/>
    <d v="2025-12-21T13:00:00"/>
    <x v="0"/>
    <x v="0"/>
    <x v="0"/>
    <x v="0"/>
    <x v="0"/>
    <n v="7.3"/>
    <x v="92"/>
    <x v="2"/>
    <s v="No"/>
    <n v="0"/>
    <s v="Within 24h"/>
    <s v="Slow"/>
    <n v="1"/>
  </r>
  <r>
    <s v="Tkt-0679"/>
    <d v="2025-12-23T08:00:00"/>
    <x v="0"/>
    <x v="1"/>
    <x v="3"/>
    <x v="1"/>
    <x v="0"/>
    <n v="5.0999999999999996"/>
    <x v="112"/>
    <x v="2"/>
    <s v="No"/>
    <n v="0"/>
    <s v="Within 24h"/>
    <s v="Slow"/>
    <n v="1"/>
  </r>
  <r>
    <s v="Tkt-0680"/>
    <d v="2026-01-25T19:00:00"/>
    <x v="0"/>
    <x v="0"/>
    <x v="0"/>
    <x v="0"/>
    <x v="0"/>
    <n v="1.8"/>
    <x v="57"/>
    <x v="1"/>
    <s v="Yes"/>
    <n v="1"/>
    <s v="Within 24h"/>
    <s v="Medium"/>
    <n v="1"/>
  </r>
  <r>
    <s v="Tkt-0681"/>
    <d v="2026-01-27T09:00:00"/>
    <x v="0"/>
    <x v="2"/>
    <x v="2"/>
    <x v="4"/>
    <x v="2"/>
    <n v="3.4"/>
    <x v="0"/>
    <x v="1"/>
    <s v="Yes"/>
    <n v="1"/>
    <s v="Within 24h"/>
    <s v="Medium"/>
    <n v="1"/>
  </r>
  <r>
    <s v="Tkt-0682"/>
    <d v="2026-01-22T01:00:00"/>
    <x v="1"/>
    <x v="1"/>
    <x v="0"/>
    <x v="0"/>
    <x v="0"/>
    <n v="2.7"/>
    <x v="230"/>
    <x v="2"/>
    <s v="Yes"/>
    <n v="1"/>
    <s v="Within 24h"/>
    <s v="Medium"/>
    <n v="1"/>
  </r>
  <r>
    <s v="Tkt-0683"/>
    <d v="2026-01-16T21:00:00"/>
    <x v="0"/>
    <x v="2"/>
    <x v="3"/>
    <x v="4"/>
    <x v="2"/>
    <n v="2.4"/>
    <x v="231"/>
    <x v="2"/>
    <s v="Yes"/>
    <n v="1"/>
    <s v="Within 24h"/>
    <s v="Medium"/>
    <n v="1"/>
  </r>
  <r>
    <s v="Tkt-0684"/>
    <d v="2025-12-31T22:00:00"/>
    <x v="0"/>
    <x v="0"/>
    <x v="3"/>
    <x v="0"/>
    <x v="0"/>
    <n v="6.6"/>
    <x v="116"/>
    <x v="2"/>
    <s v="No"/>
    <n v="0"/>
    <s v="Within 24h"/>
    <s v="Slow"/>
    <n v="1"/>
  </r>
  <r>
    <s v="Tkt-0685"/>
    <d v="2026-02-10T17:00:00"/>
    <x v="0"/>
    <x v="2"/>
    <x v="0"/>
    <x v="0"/>
    <x v="0"/>
    <n v="0.8"/>
    <x v="81"/>
    <x v="2"/>
    <s v="Yes"/>
    <n v="1"/>
    <s v="Within 24h"/>
    <s v="Fast"/>
    <n v="1"/>
  </r>
  <r>
    <s v="Tkt-0686"/>
    <d v="2025-12-04T01:00:00"/>
    <x v="0"/>
    <x v="2"/>
    <x v="0"/>
    <x v="0"/>
    <x v="0"/>
    <n v="8.1999999999999993"/>
    <x v="88"/>
    <x v="1"/>
    <s v="No"/>
    <n v="0"/>
    <s v="Within 24h"/>
    <s v="Slow"/>
    <n v="1"/>
  </r>
  <r>
    <s v="Tkt-0687"/>
    <d v="2025-12-04T12:00:00"/>
    <x v="0"/>
    <x v="1"/>
    <x v="3"/>
    <x v="1"/>
    <x v="0"/>
    <n v="6.3"/>
    <x v="54"/>
    <x v="1"/>
    <s v="No"/>
    <n v="0"/>
    <s v="Within 24h"/>
    <s v="Slow"/>
    <n v="1"/>
  </r>
  <r>
    <s v="Tkt-0688"/>
    <d v="2025-12-19T13:00:00"/>
    <x v="0"/>
    <x v="1"/>
    <x v="3"/>
    <x v="3"/>
    <x v="1"/>
    <n v="6.9"/>
    <x v="5"/>
    <x v="0"/>
    <s v="No"/>
    <n v="0"/>
    <s v="Within 24h"/>
    <s v="Slow"/>
    <n v="1"/>
  </r>
  <r>
    <s v="Tkt-0689"/>
    <d v="2026-02-17T12:00:00"/>
    <x v="1"/>
    <x v="2"/>
    <x v="3"/>
    <x v="2"/>
    <x v="1"/>
    <n v="3"/>
    <x v="82"/>
    <x v="1"/>
    <s v="Yes"/>
    <n v="1"/>
    <s v="Within 24h"/>
    <s v="Medium"/>
    <n v="1"/>
  </r>
  <r>
    <s v="Tkt-0690"/>
    <d v="2026-02-27T16:00:00"/>
    <x v="0"/>
    <x v="0"/>
    <x v="3"/>
    <x v="0"/>
    <x v="0"/>
    <n v="3.8"/>
    <x v="125"/>
    <x v="2"/>
    <s v="Yes"/>
    <n v="1"/>
    <s v="Within 24h"/>
    <s v="Medium"/>
    <n v="1"/>
  </r>
  <r>
    <s v="Tkt-0691"/>
    <d v="2025-12-22T21:00:00"/>
    <x v="0"/>
    <x v="1"/>
    <x v="4"/>
    <x v="1"/>
    <x v="0"/>
    <n v="0.6"/>
    <x v="3"/>
    <x v="3"/>
    <s v="Yes"/>
    <n v="1"/>
    <s v="Within 24h"/>
    <s v="Fast"/>
    <n v="1"/>
  </r>
  <r>
    <s v="Tkt-0692"/>
    <d v="2026-01-01T13:00:00"/>
    <x v="0"/>
    <x v="0"/>
    <x v="0"/>
    <x v="0"/>
    <x v="0"/>
    <n v="2.9"/>
    <x v="5"/>
    <x v="2"/>
    <s v="Yes"/>
    <n v="1"/>
    <s v="Within 24h"/>
    <s v="Medium"/>
    <n v="1"/>
  </r>
  <r>
    <s v="Tkt-0693"/>
    <d v="2025-12-04T01:00:00"/>
    <x v="0"/>
    <x v="0"/>
    <x v="3"/>
    <x v="4"/>
    <x v="2"/>
    <n v="5.4"/>
    <x v="232"/>
    <x v="2"/>
    <s v="No"/>
    <n v="0"/>
    <s v="24-48h"/>
    <s v="Slow"/>
    <n v="1"/>
  </r>
  <r>
    <s v="Tkt-0694"/>
    <d v="2025-12-04T16:00:00"/>
    <x v="1"/>
    <x v="0"/>
    <x v="1"/>
    <x v="1"/>
    <x v="0"/>
    <n v="7.4"/>
    <x v="54"/>
    <x v="1"/>
    <s v="No"/>
    <n v="0"/>
    <s v="Within 24h"/>
    <s v="Slow"/>
    <n v="1"/>
  </r>
  <r>
    <s v="Tkt-0695"/>
    <d v="2025-12-16T12:00:00"/>
    <x v="0"/>
    <x v="0"/>
    <x v="3"/>
    <x v="3"/>
    <x v="1"/>
    <n v="1.4"/>
    <x v="108"/>
    <x v="0"/>
    <s v="Yes"/>
    <n v="1"/>
    <s v="Within 24h"/>
    <s v="Medium"/>
    <n v="1"/>
  </r>
  <r>
    <s v="Tkt-0696"/>
    <d v="2025-12-09T13:00:00"/>
    <x v="0"/>
    <x v="0"/>
    <x v="4"/>
    <x v="0"/>
    <x v="0"/>
    <n v="3.3"/>
    <x v="168"/>
    <x v="3"/>
    <s v="Yes"/>
    <n v="1"/>
    <s v="Within 24h"/>
    <s v="Medium"/>
    <n v="1"/>
  </r>
  <r>
    <s v="Tkt-0697"/>
    <d v="2026-02-15T03:00:00"/>
    <x v="0"/>
    <x v="0"/>
    <x v="3"/>
    <x v="0"/>
    <x v="0"/>
    <n v="3.8"/>
    <x v="233"/>
    <x v="3"/>
    <s v="Yes"/>
    <n v="1"/>
    <s v="24-48h"/>
    <s v="Medium"/>
    <n v="1"/>
  </r>
  <r>
    <s v="Tkt-0698"/>
    <d v="2026-01-30T09:00:00"/>
    <x v="1"/>
    <x v="2"/>
    <x v="2"/>
    <x v="0"/>
    <x v="0"/>
    <n v="0.7"/>
    <x v="152"/>
    <x v="0"/>
    <s v="Yes"/>
    <n v="1"/>
    <s v="Within 24h"/>
    <s v="Fast"/>
    <n v="1"/>
  </r>
  <r>
    <s v="Tkt-0699"/>
    <d v="2026-02-25T05:00:00"/>
    <x v="0"/>
    <x v="1"/>
    <x v="2"/>
    <x v="1"/>
    <x v="0"/>
    <n v="5.7"/>
    <x v="157"/>
    <x v="2"/>
    <s v="No"/>
    <n v="0"/>
    <s v="Within 24h"/>
    <s v="Slow"/>
    <n v="1"/>
  </r>
  <r>
    <s v="Tkt-0700"/>
    <d v="2025-12-19T14:00:00"/>
    <x v="0"/>
    <x v="2"/>
    <x v="3"/>
    <x v="0"/>
    <x v="0"/>
    <n v="2.4"/>
    <x v="101"/>
    <x v="1"/>
    <s v="Yes"/>
    <n v="1"/>
    <s v="Within 24h"/>
    <s v="Medium"/>
    <n v="1"/>
  </r>
  <r>
    <s v="Tkt-0701"/>
    <d v="2025-12-12T17:00:00"/>
    <x v="2"/>
    <x v="1"/>
    <x v="1"/>
    <x v="0"/>
    <x v="0"/>
    <n v="3.7"/>
    <x v="81"/>
    <x v="2"/>
    <s v="Yes"/>
    <n v="1"/>
    <s v="Within 24h"/>
    <s v="Medium"/>
    <n v="1"/>
  </r>
  <r>
    <s v="Tkt-0702"/>
    <d v="2025-12-08T22:00:00"/>
    <x v="0"/>
    <x v="0"/>
    <x v="0"/>
    <x v="1"/>
    <x v="0"/>
    <n v="3.1"/>
    <x v="25"/>
    <x v="3"/>
    <s v="Yes"/>
    <n v="1"/>
    <s v="Within 24h"/>
    <s v="Medium"/>
    <n v="1"/>
  </r>
  <r>
    <s v="Tkt-0703"/>
    <d v="2025-12-09T10:00:00"/>
    <x v="1"/>
    <x v="1"/>
    <x v="0"/>
    <x v="0"/>
    <x v="0"/>
    <n v="2.2000000000000002"/>
    <x v="131"/>
    <x v="3"/>
    <s v="Yes"/>
    <n v="1"/>
    <s v="Within 24h"/>
    <s v="Medium"/>
    <n v="1"/>
  </r>
  <r>
    <s v="Tkt-0704"/>
    <d v="2025-12-01T15:00:00"/>
    <x v="2"/>
    <x v="1"/>
    <x v="2"/>
    <x v="0"/>
    <x v="0"/>
    <n v="4.2"/>
    <x v="143"/>
    <x v="2"/>
    <s v="No"/>
    <n v="0"/>
    <s v="Within 24h"/>
    <s v="Slow"/>
    <n v="1"/>
  </r>
  <r>
    <s v="Tkt-0705"/>
    <d v="2025-12-07T11:00:00"/>
    <x v="0"/>
    <x v="0"/>
    <x v="2"/>
    <x v="0"/>
    <x v="0"/>
    <n v="3.7"/>
    <x v="180"/>
    <x v="3"/>
    <s v="Yes"/>
    <n v="1"/>
    <s v="Within 24h"/>
    <s v="Medium"/>
    <n v="1"/>
  </r>
  <r>
    <s v="Tkt-0706"/>
    <d v="2026-02-14T20:00:00"/>
    <x v="0"/>
    <x v="1"/>
    <x v="0"/>
    <x v="0"/>
    <x v="0"/>
    <n v="3.3"/>
    <x v="63"/>
    <x v="1"/>
    <s v="Yes"/>
    <n v="1"/>
    <s v="Within 24h"/>
    <s v="Medium"/>
    <n v="1"/>
  </r>
  <r>
    <s v="Tkt-0707"/>
    <d v="2026-02-23T23:00:00"/>
    <x v="0"/>
    <x v="0"/>
    <x v="0"/>
    <x v="1"/>
    <x v="0"/>
    <n v="2.4"/>
    <x v="5"/>
    <x v="3"/>
    <s v="Yes"/>
    <n v="1"/>
    <s v="Within 24h"/>
    <s v="Medium"/>
    <n v="1"/>
  </r>
  <r>
    <s v="Tkt-0708"/>
    <d v="2026-01-21T09:00:00"/>
    <x v="0"/>
    <x v="1"/>
    <x v="0"/>
    <x v="1"/>
    <x v="0"/>
    <n v="5"/>
    <x v="93"/>
    <x v="1"/>
    <s v="No"/>
    <n v="0"/>
    <s v="Within 24h"/>
    <s v="Slow"/>
    <n v="1"/>
  </r>
  <r>
    <s v="Tkt-0709"/>
    <d v="2026-02-14T21:00:00"/>
    <x v="0"/>
    <x v="1"/>
    <x v="0"/>
    <x v="0"/>
    <x v="0"/>
    <n v="8.3000000000000007"/>
    <x v="176"/>
    <x v="2"/>
    <s v="No"/>
    <n v="0"/>
    <s v="Within 24h"/>
    <s v="Slow"/>
    <n v="1"/>
  </r>
  <r>
    <s v="Tkt-0710"/>
    <d v="2026-01-29T07:00:00"/>
    <x v="0"/>
    <x v="0"/>
    <x v="2"/>
    <x v="2"/>
    <x v="1"/>
    <n v="4.5"/>
    <x v="108"/>
    <x v="2"/>
    <s v="No"/>
    <n v="0"/>
    <s v="Within 24h"/>
    <s v="Slow"/>
    <n v="1"/>
  </r>
  <r>
    <s v="Tkt-0711"/>
    <d v="2026-02-11T12:00:00"/>
    <x v="0"/>
    <x v="0"/>
    <x v="3"/>
    <x v="0"/>
    <x v="0"/>
    <n v="6.7"/>
    <x v="82"/>
    <x v="1"/>
    <s v="No"/>
    <n v="0"/>
    <s v="Within 24h"/>
    <s v="Slow"/>
    <n v="1"/>
  </r>
  <r>
    <s v="Tkt-0712"/>
    <d v="2026-01-01T13:00:00"/>
    <x v="0"/>
    <x v="2"/>
    <x v="3"/>
    <x v="0"/>
    <x v="0"/>
    <n v="0.7"/>
    <x v="234"/>
    <x v="1"/>
    <s v="Yes"/>
    <n v="1"/>
    <s v="24-48h"/>
    <s v="Fast"/>
    <n v="1"/>
  </r>
  <r>
    <s v="Tkt-0713"/>
    <d v="2025-12-05T01:00:00"/>
    <x v="0"/>
    <x v="1"/>
    <x v="3"/>
    <x v="0"/>
    <x v="0"/>
    <n v="4.5999999999999996"/>
    <x v="235"/>
    <x v="1"/>
    <s v="No"/>
    <n v="0"/>
    <s v="Within 24h"/>
    <s v="Slow"/>
    <n v="1"/>
  </r>
  <r>
    <s v="Tkt-0714"/>
    <d v="2025-12-01T07:00:00"/>
    <x v="0"/>
    <x v="0"/>
    <x v="0"/>
    <x v="0"/>
    <x v="0"/>
    <n v="1.5"/>
    <x v="236"/>
    <x v="3"/>
    <s v="Yes"/>
    <n v="1"/>
    <s v="Within 24h"/>
    <s v="Medium"/>
    <n v="1"/>
  </r>
  <r>
    <s v="Tkt-0715"/>
    <d v="2026-01-06T06:00:00"/>
    <x v="0"/>
    <x v="2"/>
    <x v="0"/>
    <x v="1"/>
    <x v="0"/>
    <n v="0.5"/>
    <x v="36"/>
    <x v="2"/>
    <s v="Yes"/>
    <n v="1"/>
    <s v="Within 24h"/>
    <s v="Fast"/>
    <n v="1"/>
  </r>
  <r>
    <s v="Tkt-0716"/>
    <d v="2026-02-09T11:00:00"/>
    <x v="0"/>
    <x v="0"/>
    <x v="4"/>
    <x v="1"/>
    <x v="0"/>
    <n v="2.4"/>
    <x v="58"/>
    <x v="3"/>
    <s v="Yes"/>
    <n v="1"/>
    <s v="Within 24h"/>
    <s v="Medium"/>
    <n v="1"/>
  </r>
  <r>
    <s v="Tkt-0717"/>
    <d v="2025-12-07T21:00:00"/>
    <x v="0"/>
    <x v="1"/>
    <x v="1"/>
    <x v="3"/>
    <x v="1"/>
    <n v="7.2"/>
    <x v="237"/>
    <x v="3"/>
    <s v="No"/>
    <n v="0"/>
    <s v="Within 24h"/>
    <s v="Slow"/>
    <n v="1"/>
  </r>
  <r>
    <s v="Tkt-0718"/>
    <d v="2025-12-28T05:00:00"/>
    <x v="1"/>
    <x v="2"/>
    <x v="2"/>
    <x v="1"/>
    <x v="0"/>
    <n v="6.6"/>
    <x v="166"/>
    <x v="1"/>
    <s v="No"/>
    <n v="0"/>
    <s v="Within 24h"/>
    <s v="Slow"/>
    <n v="1"/>
  </r>
  <r>
    <s v="Tkt-0719"/>
    <d v="2026-01-07T16:00:00"/>
    <x v="0"/>
    <x v="0"/>
    <x v="0"/>
    <x v="1"/>
    <x v="0"/>
    <n v="4.8"/>
    <x v="238"/>
    <x v="3"/>
    <s v="No"/>
    <n v="0"/>
    <s v="Within 24h"/>
    <s v="Slow"/>
    <n v="1"/>
  </r>
  <r>
    <s v="Tkt-0720"/>
    <d v="2026-02-24T02:00:00"/>
    <x v="0"/>
    <x v="0"/>
    <x v="2"/>
    <x v="1"/>
    <x v="0"/>
    <n v="0.4"/>
    <x v="143"/>
    <x v="0"/>
    <s v="Yes"/>
    <n v="1"/>
    <s v="Within 24h"/>
    <s v="Fast"/>
    <n v="1"/>
  </r>
  <r>
    <s v="Tkt-0721"/>
    <d v="2026-01-12T18:00:00"/>
    <x v="1"/>
    <x v="0"/>
    <x v="2"/>
    <x v="0"/>
    <x v="0"/>
    <n v="3.7"/>
    <x v="222"/>
    <x v="0"/>
    <s v="Yes"/>
    <n v="1"/>
    <s v="Within 24h"/>
    <s v="Medium"/>
    <n v="1"/>
  </r>
  <r>
    <s v="Tkt-0722"/>
    <d v="2026-01-03T10:00:00"/>
    <x v="2"/>
    <x v="0"/>
    <x v="2"/>
    <x v="0"/>
    <x v="0"/>
    <n v="5"/>
    <x v="76"/>
    <x v="0"/>
    <s v="No"/>
    <n v="0"/>
    <s v="Within 24h"/>
    <s v="Slow"/>
    <n v="1"/>
  </r>
  <r>
    <s v="Tkt-0723"/>
    <d v="2026-01-29T13:00:00"/>
    <x v="0"/>
    <x v="0"/>
    <x v="3"/>
    <x v="4"/>
    <x v="2"/>
    <n v="4.5999999999999996"/>
    <x v="155"/>
    <x v="0"/>
    <s v="No"/>
    <n v="0"/>
    <s v="Within 24h"/>
    <s v="Slow"/>
    <n v="1"/>
  </r>
  <r>
    <s v="Tkt-0724"/>
    <d v="2026-02-16T03:00:00"/>
    <x v="0"/>
    <x v="1"/>
    <x v="3"/>
    <x v="1"/>
    <x v="0"/>
    <n v="0.1"/>
    <x v="23"/>
    <x v="0"/>
    <s v="Yes"/>
    <n v="1"/>
    <s v="Within 24h"/>
    <s v="Fast"/>
    <n v="1"/>
  </r>
  <r>
    <s v="Tkt-0725"/>
    <d v="2026-01-12T07:00:00"/>
    <x v="0"/>
    <x v="0"/>
    <x v="3"/>
    <x v="0"/>
    <x v="0"/>
    <n v="2"/>
    <x v="3"/>
    <x v="1"/>
    <s v="Yes"/>
    <n v="1"/>
    <s v="Within 24h"/>
    <s v="Medium"/>
    <n v="1"/>
  </r>
  <r>
    <s v="Tkt-0726"/>
    <d v="2025-12-08T13:00:00"/>
    <x v="1"/>
    <x v="1"/>
    <x v="0"/>
    <x v="3"/>
    <x v="1"/>
    <n v="4"/>
    <x v="205"/>
    <x v="3"/>
    <s v="No"/>
    <n v="0"/>
    <s v="Within 24h"/>
    <s v="Medium"/>
    <n v="1"/>
  </r>
  <r>
    <s v="Tkt-0727"/>
    <d v="2026-02-21T12:00:00"/>
    <x v="0"/>
    <x v="2"/>
    <x v="0"/>
    <x v="3"/>
    <x v="1"/>
    <n v="5.5"/>
    <x v="25"/>
    <x v="3"/>
    <s v="No"/>
    <n v="0"/>
    <s v="Within 24h"/>
    <s v="Slow"/>
    <n v="1"/>
  </r>
  <r>
    <s v="Tkt-0728"/>
    <d v="2026-01-24T18:00:00"/>
    <x v="0"/>
    <x v="2"/>
    <x v="0"/>
    <x v="4"/>
    <x v="2"/>
    <n v="0.1"/>
    <x v="90"/>
    <x v="0"/>
    <s v="Yes"/>
    <n v="1"/>
    <s v="Within 24h"/>
    <s v="Fast"/>
    <n v="1"/>
  </r>
  <r>
    <s v="Tkt-0729"/>
    <d v="2026-02-13T10:00:00"/>
    <x v="1"/>
    <x v="1"/>
    <x v="3"/>
    <x v="0"/>
    <x v="0"/>
    <n v="3.8"/>
    <x v="206"/>
    <x v="3"/>
    <s v="Yes"/>
    <n v="1"/>
    <s v="24-48h"/>
    <s v="Medium"/>
    <n v="1"/>
  </r>
  <r>
    <s v="Tkt-0730"/>
    <d v="2026-02-17T03:00:00"/>
    <x v="1"/>
    <x v="0"/>
    <x v="4"/>
    <x v="4"/>
    <x v="2"/>
    <n v="4.5999999999999996"/>
    <x v="127"/>
    <x v="0"/>
    <s v="No"/>
    <n v="0"/>
    <s v="Within 24h"/>
    <s v="Slow"/>
    <n v="1"/>
  </r>
  <r>
    <s v="Tkt-0731"/>
    <d v="2026-02-01T04:00:00"/>
    <x v="0"/>
    <x v="1"/>
    <x v="3"/>
    <x v="0"/>
    <x v="0"/>
    <n v="6.3"/>
    <x v="205"/>
    <x v="3"/>
    <s v="No"/>
    <n v="0"/>
    <s v="Within 24h"/>
    <s v="Slow"/>
    <n v="1"/>
  </r>
  <r>
    <s v="Tkt-0732"/>
    <d v="2025-12-09T05:00:00"/>
    <x v="0"/>
    <x v="1"/>
    <x v="0"/>
    <x v="1"/>
    <x v="0"/>
    <n v="5.9"/>
    <x v="131"/>
    <x v="1"/>
    <s v="No"/>
    <n v="0"/>
    <s v="Within 24h"/>
    <s v="Slow"/>
    <n v="1"/>
  </r>
  <r>
    <s v="Tkt-0733"/>
    <d v="2026-02-26T23:00:00"/>
    <x v="0"/>
    <x v="1"/>
    <x v="1"/>
    <x v="1"/>
    <x v="0"/>
    <n v="5.7"/>
    <x v="194"/>
    <x v="2"/>
    <s v="No"/>
    <n v="0"/>
    <s v="Within 24h"/>
    <s v="Slow"/>
    <n v="1"/>
  </r>
  <r>
    <s v="Tkt-0734"/>
    <d v="2026-01-17T17:00:00"/>
    <x v="0"/>
    <x v="0"/>
    <x v="1"/>
    <x v="4"/>
    <x v="2"/>
    <n v="2.2000000000000002"/>
    <x v="170"/>
    <x v="0"/>
    <s v="Yes"/>
    <n v="1"/>
    <s v="Within 24h"/>
    <s v="Medium"/>
    <n v="1"/>
  </r>
  <r>
    <s v="Tkt-0735"/>
    <d v="2026-02-12T06:00:00"/>
    <x v="0"/>
    <x v="2"/>
    <x v="2"/>
    <x v="1"/>
    <x v="0"/>
    <n v="0.1"/>
    <x v="149"/>
    <x v="1"/>
    <s v="Yes"/>
    <n v="1"/>
    <s v="Within 24h"/>
    <s v="Fast"/>
    <n v="1"/>
  </r>
  <r>
    <s v="Tkt-0736"/>
    <d v="2026-02-02T22:00:00"/>
    <x v="0"/>
    <x v="1"/>
    <x v="1"/>
    <x v="0"/>
    <x v="0"/>
    <n v="3.2"/>
    <x v="153"/>
    <x v="1"/>
    <s v="Yes"/>
    <n v="1"/>
    <s v="Within 24h"/>
    <s v="Medium"/>
    <n v="1"/>
  </r>
  <r>
    <s v="Tkt-0737"/>
    <d v="2025-12-20T18:00:00"/>
    <x v="0"/>
    <x v="0"/>
    <x v="3"/>
    <x v="0"/>
    <x v="0"/>
    <n v="6.7"/>
    <x v="17"/>
    <x v="0"/>
    <s v="No"/>
    <n v="0"/>
    <s v="Within 24h"/>
    <s v="Slow"/>
    <n v="1"/>
  </r>
  <r>
    <s v="Tkt-0738"/>
    <d v="2025-12-15T18:00:00"/>
    <x v="0"/>
    <x v="0"/>
    <x v="1"/>
    <x v="0"/>
    <x v="0"/>
    <n v="7.7"/>
    <x v="5"/>
    <x v="0"/>
    <s v="No"/>
    <n v="0"/>
    <s v="Within 24h"/>
    <s v="Slow"/>
    <n v="1"/>
  </r>
  <r>
    <s v="Tkt-0739"/>
    <d v="2026-01-30T14:00:00"/>
    <x v="0"/>
    <x v="1"/>
    <x v="0"/>
    <x v="0"/>
    <x v="0"/>
    <n v="6"/>
    <x v="44"/>
    <x v="1"/>
    <s v="No"/>
    <n v="0"/>
    <s v="Within 24h"/>
    <s v="Slow"/>
    <n v="1"/>
  </r>
  <r>
    <s v="Tkt-0740"/>
    <d v="2026-02-10T05:00:00"/>
    <x v="0"/>
    <x v="2"/>
    <x v="3"/>
    <x v="0"/>
    <x v="0"/>
    <n v="5.3"/>
    <x v="130"/>
    <x v="0"/>
    <s v="No"/>
    <n v="0"/>
    <s v="Within 24h"/>
    <s v="Slow"/>
    <n v="1"/>
  </r>
  <r>
    <s v="Tkt-0741"/>
    <d v="2026-02-28T16:00:00"/>
    <x v="0"/>
    <x v="1"/>
    <x v="0"/>
    <x v="0"/>
    <x v="0"/>
    <n v="5.0999999999999996"/>
    <x v="95"/>
    <x v="0"/>
    <s v="No"/>
    <n v="0"/>
    <s v="Within 24h"/>
    <s v="Slow"/>
    <n v="1"/>
  </r>
  <r>
    <s v="Tkt-0742"/>
    <d v="2026-02-10T20:00:00"/>
    <x v="0"/>
    <x v="2"/>
    <x v="0"/>
    <x v="0"/>
    <x v="0"/>
    <n v="2.8"/>
    <x v="150"/>
    <x v="2"/>
    <s v="Yes"/>
    <n v="1"/>
    <s v="Within 24h"/>
    <s v="Medium"/>
    <n v="1"/>
  </r>
  <r>
    <s v="Tkt-0743"/>
    <d v="2025-12-21T16:00:00"/>
    <x v="0"/>
    <x v="0"/>
    <x v="0"/>
    <x v="3"/>
    <x v="1"/>
    <n v="3.9"/>
    <x v="237"/>
    <x v="2"/>
    <s v="Yes"/>
    <n v="1"/>
    <s v="Within 24h"/>
    <s v="Medium"/>
    <n v="1"/>
  </r>
  <r>
    <s v="Tkt-0744"/>
    <d v="2026-02-06T21:00:00"/>
    <x v="0"/>
    <x v="1"/>
    <x v="4"/>
    <x v="2"/>
    <x v="1"/>
    <n v="8.4"/>
    <x v="239"/>
    <x v="0"/>
    <s v="No"/>
    <n v="0"/>
    <s v="Within 24h"/>
    <s v="Slow"/>
    <n v="1"/>
  </r>
  <r>
    <s v="Tkt-0745"/>
    <d v="2025-12-07T00:00:00"/>
    <x v="0"/>
    <x v="1"/>
    <x v="2"/>
    <x v="4"/>
    <x v="2"/>
    <n v="1.8"/>
    <x v="240"/>
    <x v="1"/>
    <s v="Yes"/>
    <n v="1"/>
    <s v="Within 24h"/>
    <s v="Medium"/>
    <n v="1"/>
  </r>
  <r>
    <s v="Tkt-0746"/>
    <d v="2026-02-13T00:00:00"/>
    <x v="0"/>
    <x v="0"/>
    <x v="4"/>
    <x v="0"/>
    <x v="0"/>
    <n v="8.1999999999999993"/>
    <x v="138"/>
    <x v="3"/>
    <s v="No"/>
    <n v="0"/>
    <s v="Within 24h"/>
    <s v="Slow"/>
    <n v="1"/>
  </r>
  <r>
    <s v="Tkt-0747"/>
    <d v="2026-01-14T17:00:00"/>
    <x v="0"/>
    <x v="0"/>
    <x v="0"/>
    <x v="1"/>
    <x v="0"/>
    <n v="3.4"/>
    <x v="80"/>
    <x v="0"/>
    <s v="Yes"/>
    <n v="1"/>
    <s v="Within 24h"/>
    <s v="Medium"/>
    <n v="1"/>
  </r>
  <r>
    <s v="Tkt-0748"/>
    <d v="2025-12-15T14:00:00"/>
    <x v="0"/>
    <x v="2"/>
    <x v="2"/>
    <x v="1"/>
    <x v="0"/>
    <n v="7.5"/>
    <x v="33"/>
    <x v="0"/>
    <s v="No"/>
    <n v="0"/>
    <s v="Within 24h"/>
    <s v="Slow"/>
    <n v="1"/>
  </r>
  <r>
    <s v="Tkt-0749"/>
    <d v="2026-02-26T19:00:00"/>
    <x v="0"/>
    <x v="0"/>
    <x v="4"/>
    <x v="0"/>
    <x v="0"/>
    <n v="0.7"/>
    <x v="117"/>
    <x v="3"/>
    <s v="Yes"/>
    <n v="1"/>
    <s v="Within 24h"/>
    <s v="Fast"/>
    <n v="1"/>
  </r>
  <r>
    <s v="Tkt-0750"/>
    <d v="2026-01-26T23:00:00"/>
    <x v="1"/>
    <x v="1"/>
    <x v="3"/>
    <x v="0"/>
    <x v="0"/>
    <n v="5.7"/>
    <x v="31"/>
    <x v="3"/>
    <s v="No"/>
    <n v="0"/>
    <s v="Within 24h"/>
    <s v="Slow"/>
    <n v="1"/>
  </r>
  <r>
    <s v="Tkt-0751"/>
    <d v="2026-02-12T01:00:00"/>
    <x v="0"/>
    <x v="0"/>
    <x v="4"/>
    <x v="0"/>
    <x v="0"/>
    <n v="2.4"/>
    <x v="131"/>
    <x v="3"/>
    <s v="Yes"/>
    <n v="1"/>
    <s v="Within 24h"/>
    <s v="Medium"/>
    <n v="1"/>
  </r>
  <r>
    <s v="Tkt-0752"/>
    <d v="2026-01-06T08:00:00"/>
    <x v="0"/>
    <x v="0"/>
    <x v="0"/>
    <x v="1"/>
    <x v="0"/>
    <n v="0.7"/>
    <x v="22"/>
    <x v="2"/>
    <s v="Yes"/>
    <n v="1"/>
    <s v="Within 24h"/>
    <s v="Fast"/>
    <n v="1"/>
  </r>
  <r>
    <s v="Tkt-0753"/>
    <d v="2026-02-14T01:00:00"/>
    <x v="0"/>
    <x v="0"/>
    <x v="3"/>
    <x v="0"/>
    <x v="0"/>
    <n v="4.7"/>
    <x v="229"/>
    <x v="2"/>
    <s v="No"/>
    <n v="0"/>
    <s v="Within 24h"/>
    <s v="Slow"/>
    <n v="1"/>
  </r>
  <r>
    <s v="Tkt-0754"/>
    <d v="2026-02-20T09:00:00"/>
    <x v="1"/>
    <x v="2"/>
    <x v="1"/>
    <x v="1"/>
    <x v="0"/>
    <n v="6.7"/>
    <x v="144"/>
    <x v="2"/>
    <s v="No"/>
    <n v="0"/>
    <s v="Within 24h"/>
    <s v="Slow"/>
    <n v="1"/>
  </r>
  <r>
    <s v="Tkt-0755"/>
    <d v="2026-01-02T13:00:00"/>
    <x v="0"/>
    <x v="2"/>
    <x v="0"/>
    <x v="4"/>
    <x v="2"/>
    <n v="2.1"/>
    <x v="67"/>
    <x v="1"/>
    <s v="Yes"/>
    <n v="1"/>
    <s v="Within 24h"/>
    <s v="Medium"/>
    <n v="1"/>
  </r>
  <r>
    <s v="Tkt-0756"/>
    <d v="2025-12-25T06:00:00"/>
    <x v="0"/>
    <x v="2"/>
    <x v="3"/>
    <x v="4"/>
    <x v="2"/>
    <n v="0.5"/>
    <x v="224"/>
    <x v="0"/>
    <s v="Yes"/>
    <n v="1"/>
    <s v="Within 24h"/>
    <s v="Fast"/>
    <n v="1"/>
  </r>
  <r>
    <s v="Tkt-0757"/>
    <d v="2026-02-15T10:00:00"/>
    <x v="0"/>
    <x v="1"/>
    <x v="2"/>
    <x v="1"/>
    <x v="0"/>
    <n v="4"/>
    <x v="70"/>
    <x v="2"/>
    <s v="No"/>
    <n v="0"/>
    <s v="Within 24h"/>
    <s v="Medium"/>
    <n v="1"/>
  </r>
  <r>
    <s v="Tkt-0758"/>
    <d v="2025-12-26T17:00:00"/>
    <x v="0"/>
    <x v="0"/>
    <x v="4"/>
    <x v="1"/>
    <x v="0"/>
    <n v="4"/>
    <x v="183"/>
    <x v="1"/>
    <s v="No"/>
    <n v="0"/>
    <s v="Within 24h"/>
    <s v="Medium"/>
    <n v="1"/>
  </r>
  <r>
    <s v="Tkt-0759"/>
    <d v="2025-12-12T23:00:00"/>
    <x v="0"/>
    <x v="1"/>
    <x v="0"/>
    <x v="0"/>
    <x v="0"/>
    <n v="5.6"/>
    <x v="240"/>
    <x v="1"/>
    <s v="No"/>
    <n v="0"/>
    <s v="Within 24h"/>
    <s v="Slow"/>
    <n v="1"/>
  </r>
  <r>
    <s v="Tkt-0760"/>
    <d v="2025-12-06T08:00:00"/>
    <x v="1"/>
    <x v="1"/>
    <x v="0"/>
    <x v="3"/>
    <x v="1"/>
    <n v="6.6"/>
    <x v="57"/>
    <x v="3"/>
    <s v="No"/>
    <n v="0"/>
    <s v="Within 24h"/>
    <s v="Slow"/>
    <n v="1"/>
  </r>
  <r>
    <s v="Tkt-0761"/>
    <d v="2026-01-21T10:00:00"/>
    <x v="0"/>
    <x v="2"/>
    <x v="0"/>
    <x v="0"/>
    <x v="0"/>
    <n v="4.0999999999999996"/>
    <x v="32"/>
    <x v="3"/>
    <s v="No"/>
    <n v="0"/>
    <s v="Within 24h"/>
    <s v="Slow"/>
    <n v="1"/>
  </r>
  <r>
    <s v="Tkt-0762"/>
    <d v="2025-12-09T00:00:00"/>
    <x v="0"/>
    <x v="0"/>
    <x v="4"/>
    <x v="1"/>
    <x v="0"/>
    <n v="8.8000000000000007"/>
    <x v="211"/>
    <x v="2"/>
    <s v="No"/>
    <n v="0"/>
    <s v="24-48h"/>
    <s v="Slow"/>
    <n v="1"/>
  </r>
  <r>
    <s v="Tkt-0763"/>
    <d v="2026-02-21T09:00:00"/>
    <x v="0"/>
    <x v="1"/>
    <x v="3"/>
    <x v="1"/>
    <x v="0"/>
    <n v="4.8"/>
    <x v="140"/>
    <x v="0"/>
    <s v="No"/>
    <n v="0"/>
    <s v="Within 24h"/>
    <s v="Slow"/>
    <n v="1"/>
  </r>
  <r>
    <s v="Tkt-0764"/>
    <d v="2026-01-08T11:00:00"/>
    <x v="2"/>
    <x v="0"/>
    <x v="0"/>
    <x v="1"/>
    <x v="0"/>
    <n v="3.3"/>
    <x v="129"/>
    <x v="0"/>
    <s v="Yes"/>
    <n v="1"/>
    <s v="Within 24h"/>
    <s v="Medium"/>
    <n v="1"/>
  </r>
  <r>
    <s v="Tkt-0765"/>
    <d v="2025-12-03T21:00:00"/>
    <x v="0"/>
    <x v="0"/>
    <x v="1"/>
    <x v="1"/>
    <x v="0"/>
    <n v="0.2"/>
    <x v="217"/>
    <x v="0"/>
    <s v="Yes"/>
    <n v="1"/>
    <s v="Within 24h"/>
    <s v="Fast"/>
    <n v="1"/>
  </r>
  <r>
    <s v="Tkt-0766"/>
    <d v="2025-12-28T02:00:00"/>
    <x v="0"/>
    <x v="1"/>
    <x v="3"/>
    <x v="0"/>
    <x v="0"/>
    <n v="3.5"/>
    <x v="241"/>
    <x v="1"/>
    <s v="Yes"/>
    <n v="1"/>
    <s v="Within 24h"/>
    <s v="Medium"/>
    <n v="1"/>
  </r>
  <r>
    <s v="Tkt-0767"/>
    <d v="2026-01-03T22:00:00"/>
    <x v="0"/>
    <x v="1"/>
    <x v="0"/>
    <x v="1"/>
    <x v="0"/>
    <n v="3.4"/>
    <x v="33"/>
    <x v="1"/>
    <s v="Yes"/>
    <n v="1"/>
    <s v="Within 24h"/>
    <s v="Medium"/>
    <n v="1"/>
  </r>
  <r>
    <s v="Tkt-0768"/>
    <d v="2026-02-18T14:00:00"/>
    <x v="0"/>
    <x v="0"/>
    <x v="3"/>
    <x v="4"/>
    <x v="2"/>
    <n v="6.6"/>
    <x v="202"/>
    <x v="1"/>
    <s v="No"/>
    <n v="0"/>
    <s v="Within 24h"/>
    <s v="Slow"/>
    <n v="1"/>
  </r>
  <r>
    <s v="Tkt-0769"/>
    <d v="2025-12-13T20:00:00"/>
    <x v="0"/>
    <x v="0"/>
    <x v="4"/>
    <x v="3"/>
    <x v="1"/>
    <n v="5.4"/>
    <x v="36"/>
    <x v="1"/>
    <s v="No"/>
    <n v="0"/>
    <s v="Within 24h"/>
    <s v="Slow"/>
    <n v="1"/>
  </r>
  <r>
    <s v="Tkt-0770"/>
    <d v="2026-02-20T20:00:00"/>
    <x v="1"/>
    <x v="1"/>
    <x v="0"/>
    <x v="1"/>
    <x v="0"/>
    <n v="1.3"/>
    <x v="242"/>
    <x v="0"/>
    <s v="Yes"/>
    <n v="1"/>
    <s v="Within 24h"/>
    <s v="Medium"/>
    <n v="1"/>
  </r>
  <r>
    <s v="Tkt-0771"/>
    <d v="2026-01-24T05:00:00"/>
    <x v="0"/>
    <x v="2"/>
    <x v="0"/>
    <x v="0"/>
    <x v="0"/>
    <n v="4.5999999999999996"/>
    <x v="81"/>
    <x v="0"/>
    <s v="No"/>
    <n v="0"/>
    <s v="Within 24h"/>
    <s v="Slow"/>
    <n v="1"/>
  </r>
  <r>
    <s v="Tkt-0772"/>
    <d v="2025-12-09T06:00:00"/>
    <x v="1"/>
    <x v="2"/>
    <x v="2"/>
    <x v="1"/>
    <x v="0"/>
    <n v="5.9"/>
    <x v="34"/>
    <x v="3"/>
    <s v="No"/>
    <n v="0"/>
    <s v="Within 24h"/>
    <s v="Slow"/>
    <n v="1"/>
  </r>
  <r>
    <s v="Tkt-0773"/>
    <d v="2025-12-20T02:00:00"/>
    <x v="0"/>
    <x v="2"/>
    <x v="3"/>
    <x v="0"/>
    <x v="0"/>
    <n v="8"/>
    <x v="5"/>
    <x v="0"/>
    <s v="No"/>
    <n v="0"/>
    <s v="Within 24h"/>
    <s v="Slow"/>
    <n v="1"/>
  </r>
  <r>
    <s v="Tkt-0774"/>
    <d v="2026-01-18T12:00:00"/>
    <x v="0"/>
    <x v="2"/>
    <x v="3"/>
    <x v="0"/>
    <x v="0"/>
    <n v="6.4"/>
    <x v="243"/>
    <x v="1"/>
    <s v="No"/>
    <n v="0"/>
    <s v="24-48h"/>
    <s v="Slow"/>
    <n v="1"/>
  </r>
  <r>
    <s v="Tkt-0775"/>
    <d v="2025-12-14T08:00:00"/>
    <x v="1"/>
    <x v="0"/>
    <x v="3"/>
    <x v="0"/>
    <x v="0"/>
    <n v="6.1"/>
    <x v="107"/>
    <x v="1"/>
    <s v="No"/>
    <n v="0"/>
    <s v="Within 24h"/>
    <s v="Slow"/>
    <n v="1"/>
  </r>
  <r>
    <s v="Tkt-0776"/>
    <d v="2026-01-22T10:00:00"/>
    <x v="0"/>
    <x v="1"/>
    <x v="0"/>
    <x v="0"/>
    <x v="0"/>
    <n v="4.4000000000000004"/>
    <x v="92"/>
    <x v="2"/>
    <s v="No"/>
    <n v="0"/>
    <s v="Within 24h"/>
    <s v="Slow"/>
    <n v="1"/>
  </r>
  <r>
    <s v="Tkt-0777"/>
    <d v="2025-12-26T05:00:00"/>
    <x v="0"/>
    <x v="1"/>
    <x v="0"/>
    <x v="0"/>
    <x v="0"/>
    <n v="5.2"/>
    <x v="151"/>
    <x v="0"/>
    <s v="No"/>
    <n v="0"/>
    <s v="Within 24h"/>
    <s v="Slow"/>
    <n v="1"/>
  </r>
  <r>
    <s v="Tkt-0778"/>
    <d v="2026-01-04T21:00:00"/>
    <x v="0"/>
    <x v="0"/>
    <x v="3"/>
    <x v="0"/>
    <x v="0"/>
    <n v="7.3"/>
    <x v="51"/>
    <x v="0"/>
    <s v="No"/>
    <n v="0"/>
    <s v="Within 24h"/>
    <s v="Slow"/>
    <n v="1"/>
  </r>
  <r>
    <s v="Tkt-0779"/>
    <d v="2025-12-01T21:00:00"/>
    <x v="0"/>
    <x v="2"/>
    <x v="0"/>
    <x v="0"/>
    <x v="0"/>
    <n v="0.9"/>
    <x v="111"/>
    <x v="3"/>
    <s v="Yes"/>
    <n v="1"/>
    <s v="Within 24h"/>
    <s v="Fast"/>
    <n v="1"/>
  </r>
  <r>
    <s v="Tkt-0780"/>
    <d v="2025-12-07T04:00:00"/>
    <x v="0"/>
    <x v="0"/>
    <x v="0"/>
    <x v="1"/>
    <x v="0"/>
    <n v="3.3"/>
    <x v="10"/>
    <x v="3"/>
    <s v="Yes"/>
    <n v="1"/>
    <s v="Within 24h"/>
    <s v="Medium"/>
    <n v="1"/>
  </r>
  <r>
    <s v="Tkt-0781"/>
    <d v="2025-12-20T01:00:00"/>
    <x v="0"/>
    <x v="2"/>
    <x v="2"/>
    <x v="1"/>
    <x v="0"/>
    <n v="2.2999999999999998"/>
    <x v="173"/>
    <x v="1"/>
    <s v="Yes"/>
    <n v="1"/>
    <s v="Within 24h"/>
    <s v="Medium"/>
    <n v="1"/>
  </r>
  <r>
    <s v="Tkt-0782"/>
    <d v="2026-02-01T11:00:00"/>
    <x v="0"/>
    <x v="1"/>
    <x v="1"/>
    <x v="2"/>
    <x v="1"/>
    <n v="5.0999999999999996"/>
    <x v="129"/>
    <x v="2"/>
    <s v="No"/>
    <n v="0"/>
    <s v="Within 24h"/>
    <s v="Slow"/>
    <n v="1"/>
  </r>
  <r>
    <s v="Tkt-0783"/>
    <d v="2026-01-02T17:00:00"/>
    <x v="0"/>
    <x v="1"/>
    <x v="2"/>
    <x v="0"/>
    <x v="0"/>
    <n v="7.3"/>
    <x v="105"/>
    <x v="0"/>
    <s v="No"/>
    <n v="0"/>
    <s v="Within 24h"/>
    <s v="Slow"/>
    <n v="1"/>
  </r>
  <r>
    <s v="Tkt-0784"/>
    <d v="2026-01-07T14:00:00"/>
    <x v="1"/>
    <x v="1"/>
    <x v="2"/>
    <x v="0"/>
    <x v="0"/>
    <n v="2.7"/>
    <x v="1"/>
    <x v="0"/>
    <s v="Yes"/>
    <n v="1"/>
    <s v="Within 24h"/>
    <s v="Medium"/>
    <n v="1"/>
  </r>
  <r>
    <s v="Tkt-0785"/>
    <d v="2026-01-01T12:00:00"/>
    <x v="0"/>
    <x v="2"/>
    <x v="0"/>
    <x v="3"/>
    <x v="1"/>
    <n v="0.1"/>
    <x v="244"/>
    <x v="2"/>
    <s v="Yes"/>
    <n v="1"/>
    <s v="Within 24h"/>
    <s v="Fast"/>
    <n v="1"/>
  </r>
  <r>
    <s v="Tkt-0786"/>
    <d v="2026-01-06T01:00:00"/>
    <x v="0"/>
    <x v="1"/>
    <x v="1"/>
    <x v="0"/>
    <x v="0"/>
    <n v="3.2"/>
    <x v="245"/>
    <x v="0"/>
    <s v="Yes"/>
    <n v="1"/>
    <s v="24-48h"/>
    <s v="Medium"/>
    <n v="1"/>
  </r>
  <r>
    <s v="Tkt-0787"/>
    <d v="2026-02-16T14:00:00"/>
    <x v="0"/>
    <x v="1"/>
    <x v="0"/>
    <x v="1"/>
    <x v="0"/>
    <n v="6.5"/>
    <x v="71"/>
    <x v="3"/>
    <s v="No"/>
    <n v="0"/>
    <s v="Within 24h"/>
    <s v="Slow"/>
    <n v="1"/>
  </r>
  <r>
    <s v="Tkt-0788"/>
    <d v="2026-01-05T14:00:00"/>
    <x v="0"/>
    <x v="0"/>
    <x v="1"/>
    <x v="3"/>
    <x v="1"/>
    <n v="5.5"/>
    <x v="204"/>
    <x v="2"/>
    <s v="No"/>
    <n v="0"/>
    <s v="Within 24h"/>
    <s v="Slow"/>
    <n v="1"/>
  </r>
  <r>
    <s v="Tkt-0789"/>
    <d v="2025-12-05T16:00:00"/>
    <x v="0"/>
    <x v="1"/>
    <x v="1"/>
    <x v="0"/>
    <x v="0"/>
    <n v="5.3"/>
    <x v="166"/>
    <x v="0"/>
    <s v="No"/>
    <n v="0"/>
    <s v="Within 24h"/>
    <s v="Slow"/>
    <n v="1"/>
  </r>
  <r>
    <s v="Tkt-0790"/>
    <d v="2026-01-12T20:00:00"/>
    <x v="1"/>
    <x v="0"/>
    <x v="4"/>
    <x v="4"/>
    <x v="2"/>
    <n v="3.5"/>
    <x v="150"/>
    <x v="3"/>
    <s v="Yes"/>
    <n v="1"/>
    <s v="Within 24h"/>
    <s v="Medium"/>
    <n v="1"/>
  </r>
  <r>
    <s v="Tkt-0791"/>
    <d v="2025-12-03T09:00:00"/>
    <x v="0"/>
    <x v="1"/>
    <x v="1"/>
    <x v="3"/>
    <x v="1"/>
    <n v="1"/>
    <x v="238"/>
    <x v="3"/>
    <s v="Yes"/>
    <n v="1"/>
    <s v="Within 24h"/>
    <s v="Fast"/>
    <n v="1"/>
  </r>
  <r>
    <s v="Tkt-0792"/>
    <d v="2026-02-20T22:00:00"/>
    <x v="0"/>
    <x v="1"/>
    <x v="4"/>
    <x v="0"/>
    <x v="0"/>
    <n v="5.5"/>
    <x v="36"/>
    <x v="1"/>
    <s v="No"/>
    <n v="0"/>
    <s v="Within 24h"/>
    <s v="Slow"/>
    <n v="1"/>
  </r>
  <r>
    <s v="Tkt-0793"/>
    <d v="2026-02-18T22:00:00"/>
    <x v="0"/>
    <x v="1"/>
    <x v="0"/>
    <x v="0"/>
    <x v="0"/>
    <n v="2.1"/>
    <x v="156"/>
    <x v="0"/>
    <s v="Yes"/>
    <n v="1"/>
    <s v="Within 24h"/>
    <s v="Medium"/>
    <n v="1"/>
  </r>
  <r>
    <s v="Tkt-0794"/>
    <d v="2026-01-04T21:00:00"/>
    <x v="2"/>
    <x v="0"/>
    <x v="3"/>
    <x v="3"/>
    <x v="1"/>
    <n v="9.6999999999999993"/>
    <x v="193"/>
    <x v="2"/>
    <s v="No"/>
    <n v="0"/>
    <s v="Within 24h"/>
    <s v="Slow"/>
    <n v="1"/>
  </r>
  <r>
    <s v="Tkt-0795"/>
    <d v="2026-01-12T20:00:00"/>
    <x v="0"/>
    <x v="0"/>
    <x v="4"/>
    <x v="0"/>
    <x v="0"/>
    <n v="5.6"/>
    <x v="89"/>
    <x v="3"/>
    <s v="No"/>
    <n v="0"/>
    <s v="Within 24h"/>
    <s v="Slow"/>
    <n v="1"/>
  </r>
  <r>
    <s v="Tkt-0796"/>
    <d v="2025-12-19T23:00:00"/>
    <x v="0"/>
    <x v="1"/>
    <x v="0"/>
    <x v="1"/>
    <x v="0"/>
    <n v="2.7"/>
    <x v="49"/>
    <x v="3"/>
    <s v="Yes"/>
    <n v="1"/>
    <s v="Within 24h"/>
    <s v="Medium"/>
    <n v="1"/>
  </r>
  <r>
    <s v="Tkt-0797"/>
    <d v="2025-12-15T07:00:00"/>
    <x v="0"/>
    <x v="0"/>
    <x v="4"/>
    <x v="3"/>
    <x v="1"/>
    <n v="2.7"/>
    <x v="186"/>
    <x v="1"/>
    <s v="Yes"/>
    <n v="1"/>
    <s v="Within 24h"/>
    <s v="Medium"/>
    <n v="1"/>
  </r>
  <r>
    <s v="Tkt-0798"/>
    <d v="2025-12-19T14:00:00"/>
    <x v="0"/>
    <x v="0"/>
    <x v="1"/>
    <x v="4"/>
    <x v="2"/>
    <n v="4"/>
    <x v="105"/>
    <x v="2"/>
    <s v="No"/>
    <n v="0"/>
    <s v="Within 24h"/>
    <s v="Medium"/>
    <n v="1"/>
  </r>
  <r>
    <s v="Tkt-0799"/>
    <d v="2025-12-05T21:00:00"/>
    <x v="0"/>
    <x v="0"/>
    <x v="0"/>
    <x v="0"/>
    <x v="0"/>
    <n v="3.6"/>
    <x v="183"/>
    <x v="1"/>
    <s v="Yes"/>
    <n v="1"/>
    <s v="Within 24h"/>
    <s v="Medium"/>
    <n v="1"/>
  </r>
  <r>
    <s v="Tkt-0800"/>
    <d v="2026-01-07T13:00:00"/>
    <x v="0"/>
    <x v="2"/>
    <x v="2"/>
    <x v="1"/>
    <x v="0"/>
    <n v="7"/>
    <x v="123"/>
    <x v="3"/>
    <s v="No"/>
    <n v="0"/>
    <s v="Within 24h"/>
    <s v="Slow"/>
    <n v="1"/>
  </r>
  <r>
    <s v="Tkt-0801"/>
    <d v="2025-12-05T11:00:00"/>
    <x v="1"/>
    <x v="1"/>
    <x v="1"/>
    <x v="0"/>
    <x v="0"/>
    <n v="4.7"/>
    <x v="42"/>
    <x v="0"/>
    <s v="No"/>
    <n v="0"/>
    <s v="Within 24h"/>
    <s v="Slow"/>
    <n v="1"/>
  </r>
  <r>
    <s v="Tkt-0802"/>
    <d v="2026-02-22T15:00:00"/>
    <x v="0"/>
    <x v="0"/>
    <x v="1"/>
    <x v="0"/>
    <x v="0"/>
    <n v="2.4"/>
    <x v="119"/>
    <x v="2"/>
    <s v="Yes"/>
    <n v="1"/>
    <s v="Within 24h"/>
    <s v="Medium"/>
    <n v="1"/>
  </r>
  <r>
    <s v="Tkt-0803"/>
    <d v="2025-12-14T15:00:00"/>
    <x v="0"/>
    <x v="0"/>
    <x v="1"/>
    <x v="0"/>
    <x v="0"/>
    <n v="8.9"/>
    <x v="239"/>
    <x v="0"/>
    <s v="No"/>
    <n v="0"/>
    <s v="Within 24h"/>
    <s v="Slow"/>
    <n v="1"/>
  </r>
  <r>
    <s v="Tkt-0804"/>
    <d v="2026-01-14T21:00:00"/>
    <x v="0"/>
    <x v="0"/>
    <x v="3"/>
    <x v="1"/>
    <x v="0"/>
    <n v="4.3"/>
    <x v="149"/>
    <x v="0"/>
    <s v="No"/>
    <n v="0"/>
    <s v="Within 24h"/>
    <s v="Slow"/>
    <n v="1"/>
  </r>
  <r>
    <s v="Tkt-0805"/>
    <d v="2025-12-17T08:00:00"/>
    <x v="0"/>
    <x v="2"/>
    <x v="1"/>
    <x v="0"/>
    <x v="0"/>
    <n v="6.1"/>
    <x v="18"/>
    <x v="1"/>
    <s v="No"/>
    <n v="0"/>
    <s v="Within 24h"/>
    <s v="Slow"/>
    <n v="1"/>
  </r>
  <r>
    <s v="Tkt-0806"/>
    <d v="2026-02-01T20:00:00"/>
    <x v="0"/>
    <x v="1"/>
    <x v="2"/>
    <x v="1"/>
    <x v="0"/>
    <n v="2.7"/>
    <x v="0"/>
    <x v="3"/>
    <s v="Yes"/>
    <n v="1"/>
    <s v="Within 24h"/>
    <s v="Medium"/>
    <n v="1"/>
  </r>
  <r>
    <s v="Tkt-0807"/>
    <d v="2025-12-06T09:00:00"/>
    <x v="0"/>
    <x v="0"/>
    <x v="0"/>
    <x v="1"/>
    <x v="0"/>
    <n v="5.0999999999999996"/>
    <x v="212"/>
    <x v="0"/>
    <s v="No"/>
    <n v="0"/>
    <s v="Within 24h"/>
    <s v="Slow"/>
    <n v="1"/>
  </r>
  <r>
    <s v="Tkt-0808"/>
    <d v="2026-01-31T21:00:00"/>
    <x v="0"/>
    <x v="0"/>
    <x v="3"/>
    <x v="3"/>
    <x v="1"/>
    <n v="5"/>
    <x v="124"/>
    <x v="2"/>
    <s v="No"/>
    <n v="0"/>
    <s v="Within 24h"/>
    <s v="Slow"/>
    <n v="1"/>
  </r>
  <r>
    <s v="Tkt-0809"/>
    <d v="2026-01-15T07:00:00"/>
    <x v="1"/>
    <x v="0"/>
    <x v="4"/>
    <x v="3"/>
    <x v="1"/>
    <n v="0.1"/>
    <x v="107"/>
    <x v="1"/>
    <s v="Yes"/>
    <n v="1"/>
    <s v="Within 24h"/>
    <s v="Fast"/>
    <n v="1"/>
  </r>
  <r>
    <s v="Tkt-0810"/>
    <d v="2026-01-12T21:00:00"/>
    <x v="0"/>
    <x v="1"/>
    <x v="0"/>
    <x v="0"/>
    <x v="0"/>
    <n v="9.1999999999999993"/>
    <x v="8"/>
    <x v="2"/>
    <s v="No"/>
    <n v="0"/>
    <s v="Within 24h"/>
    <s v="Slow"/>
    <n v="1"/>
  </r>
  <r>
    <s v="Tkt-0811"/>
    <d v="2026-01-24T06:00:00"/>
    <x v="0"/>
    <x v="2"/>
    <x v="4"/>
    <x v="1"/>
    <x v="0"/>
    <n v="7.4"/>
    <x v="62"/>
    <x v="0"/>
    <s v="No"/>
    <n v="0"/>
    <s v="24-48h"/>
    <s v="Slow"/>
    <n v="1"/>
  </r>
  <r>
    <s v="Tkt-0812"/>
    <d v="2026-01-31T11:00:00"/>
    <x v="1"/>
    <x v="0"/>
    <x v="4"/>
    <x v="4"/>
    <x v="2"/>
    <n v="3.2"/>
    <x v="246"/>
    <x v="2"/>
    <s v="Yes"/>
    <n v="1"/>
    <s v="24-48h"/>
    <s v="Medium"/>
    <n v="1"/>
  </r>
  <r>
    <s v="Tkt-0813"/>
    <d v="2025-12-19T05:00:00"/>
    <x v="0"/>
    <x v="0"/>
    <x v="0"/>
    <x v="0"/>
    <x v="0"/>
    <n v="1.4"/>
    <x v="63"/>
    <x v="1"/>
    <s v="Yes"/>
    <n v="1"/>
    <s v="Within 24h"/>
    <s v="Medium"/>
    <n v="1"/>
  </r>
  <r>
    <s v="Tkt-0814"/>
    <d v="2025-12-12T03:00:00"/>
    <x v="0"/>
    <x v="0"/>
    <x v="4"/>
    <x v="1"/>
    <x v="0"/>
    <n v="5.0999999999999996"/>
    <x v="237"/>
    <x v="1"/>
    <s v="No"/>
    <n v="0"/>
    <s v="Within 24h"/>
    <s v="Slow"/>
    <n v="1"/>
  </r>
  <r>
    <s v="Tkt-0815"/>
    <d v="2025-12-08T07:00:00"/>
    <x v="0"/>
    <x v="2"/>
    <x v="2"/>
    <x v="0"/>
    <x v="0"/>
    <n v="4.4000000000000004"/>
    <x v="5"/>
    <x v="3"/>
    <s v="No"/>
    <n v="0"/>
    <s v="Within 24h"/>
    <s v="Slow"/>
    <n v="1"/>
  </r>
  <r>
    <s v="Tkt-0816"/>
    <d v="2026-02-25T05:00:00"/>
    <x v="0"/>
    <x v="0"/>
    <x v="3"/>
    <x v="1"/>
    <x v="0"/>
    <n v="5.0999999999999996"/>
    <x v="5"/>
    <x v="2"/>
    <s v="No"/>
    <n v="0"/>
    <s v="Within 24h"/>
    <s v="Slow"/>
    <n v="1"/>
  </r>
  <r>
    <s v="Tkt-0817"/>
    <d v="2025-12-06T02:00:00"/>
    <x v="0"/>
    <x v="2"/>
    <x v="0"/>
    <x v="0"/>
    <x v="0"/>
    <n v="4.7"/>
    <x v="53"/>
    <x v="1"/>
    <s v="No"/>
    <n v="0"/>
    <s v="Within 24h"/>
    <s v="Slow"/>
    <n v="1"/>
  </r>
  <r>
    <s v="Tkt-0818"/>
    <d v="2026-01-26T00:00:00"/>
    <x v="2"/>
    <x v="1"/>
    <x v="0"/>
    <x v="0"/>
    <x v="0"/>
    <n v="5.5"/>
    <x v="155"/>
    <x v="1"/>
    <s v="No"/>
    <n v="0"/>
    <s v="Within 24h"/>
    <s v="Slow"/>
    <n v="1"/>
  </r>
  <r>
    <s v="Tkt-0819"/>
    <d v="2026-02-05T16:00:00"/>
    <x v="0"/>
    <x v="0"/>
    <x v="3"/>
    <x v="1"/>
    <x v="0"/>
    <n v="7.8"/>
    <x v="40"/>
    <x v="3"/>
    <s v="No"/>
    <n v="0"/>
    <s v="Within 24h"/>
    <s v="Slow"/>
    <n v="1"/>
  </r>
  <r>
    <s v="Tkt-0820"/>
    <d v="2025-12-01T15:00:00"/>
    <x v="0"/>
    <x v="0"/>
    <x v="1"/>
    <x v="1"/>
    <x v="0"/>
    <n v="5.6"/>
    <x v="106"/>
    <x v="1"/>
    <s v="No"/>
    <n v="0"/>
    <s v="Within 24h"/>
    <s v="Slow"/>
    <n v="1"/>
  </r>
  <r>
    <s v="Tkt-0821"/>
    <d v="2026-01-16T13:00:00"/>
    <x v="2"/>
    <x v="0"/>
    <x v="0"/>
    <x v="1"/>
    <x v="0"/>
    <n v="1.6"/>
    <x v="5"/>
    <x v="0"/>
    <s v="Yes"/>
    <n v="1"/>
    <s v="Within 24h"/>
    <s v="Medium"/>
    <n v="1"/>
  </r>
  <r>
    <s v="Tkt-0822"/>
    <d v="2026-02-28T19:00:00"/>
    <x v="0"/>
    <x v="1"/>
    <x v="4"/>
    <x v="0"/>
    <x v="0"/>
    <n v="7.6"/>
    <x v="175"/>
    <x v="2"/>
    <s v="No"/>
    <n v="0"/>
    <s v="Within 24h"/>
    <s v="Slow"/>
    <n v="1"/>
  </r>
  <r>
    <s v="Tkt-0823"/>
    <d v="2026-02-10T06:00:00"/>
    <x v="0"/>
    <x v="2"/>
    <x v="0"/>
    <x v="1"/>
    <x v="0"/>
    <n v="8.3000000000000007"/>
    <x v="64"/>
    <x v="3"/>
    <s v="No"/>
    <n v="0"/>
    <s v="Within 24h"/>
    <s v="Slow"/>
    <n v="1"/>
  </r>
  <r>
    <s v="Tkt-0824"/>
    <d v="2025-12-06T12:00:00"/>
    <x v="0"/>
    <x v="1"/>
    <x v="3"/>
    <x v="4"/>
    <x v="2"/>
    <n v="12.1"/>
    <x v="79"/>
    <x v="0"/>
    <s v="No"/>
    <n v="0"/>
    <s v="Within 24h"/>
    <s v="Slow"/>
    <n v="1"/>
  </r>
  <r>
    <s v="Tkt-0825"/>
    <d v="2026-02-20T20:00:00"/>
    <x v="0"/>
    <x v="1"/>
    <x v="2"/>
    <x v="3"/>
    <x v="1"/>
    <n v="1.4"/>
    <x v="227"/>
    <x v="0"/>
    <s v="Yes"/>
    <n v="1"/>
    <s v="Within 24h"/>
    <s v="Medium"/>
    <n v="1"/>
  </r>
  <r>
    <s v="Tkt-0826"/>
    <d v="2025-12-10T00:00:00"/>
    <x v="0"/>
    <x v="0"/>
    <x v="4"/>
    <x v="1"/>
    <x v="0"/>
    <n v="4.8"/>
    <x v="47"/>
    <x v="2"/>
    <s v="No"/>
    <n v="0"/>
    <s v="Within 24h"/>
    <s v="Slow"/>
    <n v="1"/>
  </r>
  <r>
    <s v="Tkt-0827"/>
    <d v="2026-02-17T01:00:00"/>
    <x v="0"/>
    <x v="2"/>
    <x v="0"/>
    <x v="1"/>
    <x v="0"/>
    <n v="0.1"/>
    <x v="200"/>
    <x v="3"/>
    <s v="Yes"/>
    <n v="1"/>
    <s v="24-48h"/>
    <s v="Fast"/>
    <n v="1"/>
  </r>
  <r>
    <s v="Tkt-0828"/>
    <d v="2025-12-23T18:00:00"/>
    <x v="0"/>
    <x v="2"/>
    <x v="3"/>
    <x v="0"/>
    <x v="0"/>
    <n v="5.6"/>
    <x v="188"/>
    <x v="1"/>
    <s v="No"/>
    <n v="0"/>
    <s v="Within 24h"/>
    <s v="Slow"/>
    <n v="1"/>
  </r>
  <r>
    <s v="Tkt-0829"/>
    <d v="2026-01-11T11:00:00"/>
    <x v="0"/>
    <x v="0"/>
    <x v="0"/>
    <x v="4"/>
    <x v="2"/>
    <n v="2.8"/>
    <x v="231"/>
    <x v="3"/>
    <s v="Yes"/>
    <n v="1"/>
    <s v="Within 24h"/>
    <s v="Medium"/>
    <n v="1"/>
  </r>
  <r>
    <s v="Tkt-0830"/>
    <d v="2026-01-01T14:00:00"/>
    <x v="0"/>
    <x v="2"/>
    <x v="3"/>
    <x v="1"/>
    <x v="0"/>
    <n v="9"/>
    <x v="93"/>
    <x v="1"/>
    <s v="No"/>
    <n v="0"/>
    <s v="Within 24h"/>
    <s v="Slow"/>
    <n v="1"/>
  </r>
  <r>
    <s v="Tkt-0831"/>
    <d v="2026-02-08T13:00:00"/>
    <x v="0"/>
    <x v="1"/>
    <x v="4"/>
    <x v="0"/>
    <x v="0"/>
    <n v="2.2999999999999998"/>
    <x v="218"/>
    <x v="2"/>
    <s v="Yes"/>
    <n v="1"/>
    <s v="24-48h"/>
    <s v="Medium"/>
    <n v="1"/>
  </r>
  <r>
    <s v="Tkt-0832"/>
    <d v="2026-01-20T01:00:00"/>
    <x v="1"/>
    <x v="1"/>
    <x v="0"/>
    <x v="0"/>
    <x v="0"/>
    <n v="0.1"/>
    <x v="5"/>
    <x v="2"/>
    <s v="Yes"/>
    <n v="1"/>
    <s v="Within 24h"/>
    <s v="Fast"/>
    <n v="1"/>
  </r>
  <r>
    <s v="Tkt-0833"/>
    <d v="2026-01-18T06:00:00"/>
    <x v="1"/>
    <x v="1"/>
    <x v="0"/>
    <x v="1"/>
    <x v="0"/>
    <n v="3"/>
    <x v="116"/>
    <x v="0"/>
    <s v="Yes"/>
    <n v="1"/>
    <s v="Within 24h"/>
    <s v="Medium"/>
    <n v="1"/>
  </r>
  <r>
    <s v="Tkt-0834"/>
    <d v="2025-12-14T22:00:00"/>
    <x v="0"/>
    <x v="2"/>
    <x v="3"/>
    <x v="1"/>
    <x v="0"/>
    <n v="0.1"/>
    <x v="110"/>
    <x v="0"/>
    <s v="Yes"/>
    <n v="1"/>
    <s v="Within 24h"/>
    <s v="Fast"/>
    <n v="1"/>
  </r>
  <r>
    <s v="Tkt-0835"/>
    <d v="2026-02-22T20:00:00"/>
    <x v="0"/>
    <x v="1"/>
    <x v="1"/>
    <x v="1"/>
    <x v="0"/>
    <n v="6.1"/>
    <x v="47"/>
    <x v="0"/>
    <s v="No"/>
    <n v="0"/>
    <s v="Within 24h"/>
    <s v="Slow"/>
    <n v="1"/>
  </r>
  <r>
    <s v="Tkt-0836"/>
    <d v="2026-02-08T05:00:00"/>
    <x v="0"/>
    <x v="0"/>
    <x v="1"/>
    <x v="0"/>
    <x v="0"/>
    <n v="0.1"/>
    <x v="142"/>
    <x v="2"/>
    <s v="Yes"/>
    <n v="1"/>
    <s v="Within 24h"/>
    <s v="Fast"/>
    <n v="1"/>
  </r>
  <r>
    <s v="Tkt-0837"/>
    <d v="2026-02-22T03:00:00"/>
    <x v="0"/>
    <x v="0"/>
    <x v="0"/>
    <x v="3"/>
    <x v="1"/>
    <n v="4.3"/>
    <x v="123"/>
    <x v="1"/>
    <s v="No"/>
    <n v="0"/>
    <s v="Within 24h"/>
    <s v="Slow"/>
    <n v="1"/>
  </r>
  <r>
    <s v="Tkt-0838"/>
    <d v="2026-02-18T16:00:00"/>
    <x v="0"/>
    <x v="2"/>
    <x v="2"/>
    <x v="0"/>
    <x v="0"/>
    <n v="0.1"/>
    <x v="126"/>
    <x v="2"/>
    <s v="Yes"/>
    <n v="1"/>
    <s v="Within 24h"/>
    <s v="Fast"/>
    <n v="1"/>
  </r>
  <r>
    <s v="Tkt-0839"/>
    <d v="2026-01-03T03:00:00"/>
    <x v="0"/>
    <x v="0"/>
    <x v="3"/>
    <x v="0"/>
    <x v="0"/>
    <n v="3.4"/>
    <x v="247"/>
    <x v="2"/>
    <s v="Yes"/>
    <n v="1"/>
    <s v="24-48h"/>
    <s v="Medium"/>
    <n v="1"/>
  </r>
  <r>
    <s v="Tkt-0840"/>
    <d v="2026-01-05T09:00:00"/>
    <x v="2"/>
    <x v="0"/>
    <x v="3"/>
    <x v="1"/>
    <x v="0"/>
    <n v="8.3000000000000007"/>
    <x v="195"/>
    <x v="0"/>
    <s v="No"/>
    <n v="0"/>
    <s v="Within 24h"/>
    <s v="Slow"/>
    <n v="1"/>
  </r>
  <r>
    <s v="Tkt-0841"/>
    <d v="2025-12-13T10:00:00"/>
    <x v="0"/>
    <x v="1"/>
    <x v="2"/>
    <x v="3"/>
    <x v="1"/>
    <n v="5.0999999999999996"/>
    <x v="23"/>
    <x v="3"/>
    <s v="No"/>
    <n v="0"/>
    <s v="Within 24h"/>
    <s v="Slow"/>
    <n v="1"/>
  </r>
  <r>
    <s v="Tkt-0842"/>
    <d v="2026-01-06T16:00:00"/>
    <x v="1"/>
    <x v="1"/>
    <x v="1"/>
    <x v="1"/>
    <x v="0"/>
    <n v="2"/>
    <x v="97"/>
    <x v="0"/>
    <s v="Yes"/>
    <n v="1"/>
    <s v="Within 24h"/>
    <s v="Medium"/>
    <n v="1"/>
  </r>
  <r>
    <s v="Tkt-0843"/>
    <d v="2026-02-01T08:00:00"/>
    <x v="0"/>
    <x v="1"/>
    <x v="1"/>
    <x v="1"/>
    <x v="0"/>
    <n v="4.0999999999999996"/>
    <x v="202"/>
    <x v="3"/>
    <s v="No"/>
    <n v="0"/>
    <s v="Within 24h"/>
    <s v="Slow"/>
    <n v="1"/>
  </r>
  <r>
    <s v="Tkt-0844"/>
    <d v="2026-02-14T13:00:00"/>
    <x v="1"/>
    <x v="2"/>
    <x v="4"/>
    <x v="4"/>
    <x v="2"/>
    <n v="4.2"/>
    <x v="5"/>
    <x v="1"/>
    <s v="No"/>
    <n v="0"/>
    <s v="Within 24h"/>
    <s v="Slow"/>
    <n v="1"/>
  </r>
  <r>
    <s v="Tkt-0845"/>
    <d v="2026-01-04T21:00:00"/>
    <x v="0"/>
    <x v="0"/>
    <x v="3"/>
    <x v="0"/>
    <x v="0"/>
    <n v="5.4"/>
    <x v="128"/>
    <x v="1"/>
    <s v="No"/>
    <n v="0"/>
    <s v="Within 24h"/>
    <s v="Slow"/>
    <n v="1"/>
  </r>
  <r>
    <s v="Tkt-0846"/>
    <d v="2026-01-23T03:00:00"/>
    <x v="1"/>
    <x v="0"/>
    <x v="2"/>
    <x v="0"/>
    <x v="0"/>
    <n v="0.8"/>
    <x v="104"/>
    <x v="1"/>
    <s v="Yes"/>
    <n v="1"/>
    <s v="Within 24h"/>
    <s v="Fast"/>
    <n v="1"/>
  </r>
  <r>
    <s v="Tkt-0847"/>
    <d v="2025-12-04T06:00:00"/>
    <x v="0"/>
    <x v="0"/>
    <x v="0"/>
    <x v="0"/>
    <x v="0"/>
    <n v="5.7"/>
    <x v="224"/>
    <x v="0"/>
    <s v="No"/>
    <n v="0"/>
    <s v="Within 24h"/>
    <s v="Slow"/>
    <n v="1"/>
  </r>
  <r>
    <s v="Tkt-0848"/>
    <d v="2025-12-28T08:00:00"/>
    <x v="0"/>
    <x v="2"/>
    <x v="4"/>
    <x v="0"/>
    <x v="0"/>
    <n v="0.1"/>
    <x v="174"/>
    <x v="0"/>
    <s v="Yes"/>
    <n v="1"/>
    <s v="Within 24h"/>
    <s v="Fast"/>
    <n v="1"/>
  </r>
  <r>
    <s v="Tkt-0849"/>
    <d v="2025-12-05T15:00:00"/>
    <x v="0"/>
    <x v="1"/>
    <x v="3"/>
    <x v="3"/>
    <x v="1"/>
    <n v="2.6"/>
    <x v="16"/>
    <x v="0"/>
    <s v="Yes"/>
    <n v="1"/>
    <s v="Within 24h"/>
    <s v="Medium"/>
    <n v="1"/>
  </r>
  <r>
    <s v="Tkt-0850"/>
    <d v="2026-02-23T17:00:00"/>
    <x v="2"/>
    <x v="0"/>
    <x v="4"/>
    <x v="1"/>
    <x v="0"/>
    <n v="3"/>
    <x v="204"/>
    <x v="2"/>
    <s v="Yes"/>
    <n v="1"/>
    <s v="Within 24h"/>
    <s v="Medium"/>
    <n v="1"/>
  </r>
  <r>
    <s v="Tkt-0851"/>
    <d v="2026-01-09T05:00:00"/>
    <x v="0"/>
    <x v="2"/>
    <x v="0"/>
    <x v="3"/>
    <x v="1"/>
    <n v="5.8"/>
    <x v="81"/>
    <x v="0"/>
    <s v="No"/>
    <n v="0"/>
    <s v="Within 24h"/>
    <s v="Slow"/>
    <n v="1"/>
  </r>
  <r>
    <s v="Tkt-0852"/>
    <d v="2026-02-22T00:00:00"/>
    <x v="0"/>
    <x v="2"/>
    <x v="0"/>
    <x v="0"/>
    <x v="0"/>
    <n v="4.3"/>
    <x v="223"/>
    <x v="2"/>
    <s v="No"/>
    <n v="0"/>
    <s v="24-48h"/>
    <s v="Slow"/>
    <n v="1"/>
  </r>
  <r>
    <s v="Tkt-0853"/>
    <d v="2026-02-02T15:00:00"/>
    <x v="0"/>
    <x v="2"/>
    <x v="1"/>
    <x v="0"/>
    <x v="0"/>
    <n v="0.7"/>
    <x v="104"/>
    <x v="1"/>
    <s v="Yes"/>
    <n v="1"/>
    <s v="Within 24h"/>
    <s v="Fast"/>
    <n v="1"/>
  </r>
  <r>
    <s v="Tkt-0854"/>
    <d v="2026-02-01T20:00:00"/>
    <x v="0"/>
    <x v="2"/>
    <x v="0"/>
    <x v="0"/>
    <x v="0"/>
    <n v="1.7"/>
    <x v="2"/>
    <x v="0"/>
    <s v="Yes"/>
    <n v="1"/>
    <s v="Within 24h"/>
    <s v="Medium"/>
    <n v="1"/>
  </r>
  <r>
    <s v="Tkt-0855"/>
    <d v="2026-01-27T15:00:00"/>
    <x v="1"/>
    <x v="0"/>
    <x v="3"/>
    <x v="3"/>
    <x v="1"/>
    <n v="4.7"/>
    <x v="212"/>
    <x v="2"/>
    <s v="No"/>
    <n v="0"/>
    <s v="Within 24h"/>
    <s v="Slow"/>
    <n v="1"/>
  </r>
  <r>
    <s v="Tkt-0856"/>
    <d v="2026-01-18T21:00:00"/>
    <x v="2"/>
    <x v="2"/>
    <x v="0"/>
    <x v="1"/>
    <x v="0"/>
    <n v="4"/>
    <x v="231"/>
    <x v="1"/>
    <s v="No"/>
    <n v="0"/>
    <s v="Within 24h"/>
    <s v="Medium"/>
    <n v="1"/>
  </r>
  <r>
    <s v="Tkt-0857"/>
    <d v="2026-02-28T09:00:00"/>
    <x v="0"/>
    <x v="1"/>
    <x v="0"/>
    <x v="0"/>
    <x v="0"/>
    <n v="2.8"/>
    <x v="22"/>
    <x v="1"/>
    <s v="Yes"/>
    <n v="1"/>
    <s v="Within 24h"/>
    <s v="Medium"/>
    <n v="1"/>
  </r>
  <r>
    <s v="Tkt-0858"/>
    <d v="2026-01-04T19:00:00"/>
    <x v="0"/>
    <x v="2"/>
    <x v="0"/>
    <x v="1"/>
    <x v="0"/>
    <n v="3"/>
    <x v="5"/>
    <x v="0"/>
    <s v="Yes"/>
    <n v="1"/>
    <s v="Within 24h"/>
    <s v="Medium"/>
    <n v="1"/>
  </r>
  <r>
    <s v="Tkt-0859"/>
    <d v="2026-02-12T12:00:00"/>
    <x v="2"/>
    <x v="1"/>
    <x v="0"/>
    <x v="0"/>
    <x v="0"/>
    <n v="5.9"/>
    <x v="139"/>
    <x v="3"/>
    <s v="No"/>
    <n v="0"/>
    <s v="24-48h"/>
    <s v="Slow"/>
    <n v="1"/>
  </r>
  <r>
    <s v="Tkt-0860"/>
    <d v="2025-12-22T02:00:00"/>
    <x v="0"/>
    <x v="2"/>
    <x v="2"/>
    <x v="0"/>
    <x v="0"/>
    <n v="2.9"/>
    <x v="108"/>
    <x v="3"/>
    <s v="Yes"/>
    <n v="1"/>
    <s v="Within 24h"/>
    <s v="Medium"/>
    <n v="1"/>
  </r>
  <r>
    <s v="Tkt-0861"/>
    <d v="2026-01-30T08:00:00"/>
    <x v="0"/>
    <x v="1"/>
    <x v="0"/>
    <x v="0"/>
    <x v="0"/>
    <n v="4"/>
    <x v="30"/>
    <x v="1"/>
    <s v="No"/>
    <n v="0"/>
    <s v="Within 24h"/>
    <s v="Medium"/>
    <n v="1"/>
  </r>
  <r>
    <s v="Tkt-0862"/>
    <d v="2025-12-19T03:00:00"/>
    <x v="0"/>
    <x v="0"/>
    <x v="1"/>
    <x v="1"/>
    <x v="0"/>
    <n v="9.6"/>
    <x v="29"/>
    <x v="3"/>
    <s v="No"/>
    <n v="0"/>
    <s v="Within 24h"/>
    <s v="Slow"/>
    <n v="1"/>
  </r>
  <r>
    <s v="Tkt-0863"/>
    <d v="2026-01-14T22:00:00"/>
    <x v="0"/>
    <x v="1"/>
    <x v="4"/>
    <x v="1"/>
    <x v="0"/>
    <n v="0.6"/>
    <x v="204"/>
    <x v="3"/>
    <s v="Yes"/>
    <n v="1"/>
    <s v="Within 24h"/>
    <s v="Fast"/>
    <n v="1"/>
  </r>
  <r>
    <s v="Tkt-0864"/>
    <d v="2026-01-09T01:00:00"/>
    <x v="0"/>
    <x v="2"/>
    <x v="3"/>
    <x v="3"/>
    <x v="1"/>
    <n v="0.1"/>
    <x v="198"/>
    <x v="2"/>
    <s v="Yes"/>
    <n v="1"/>
    <s v="Within 24h"/>
    <s v="Fast"/>
    <n v="1"/>
  </r>
  <r>
    <s v="Tkt-0865"/>
    <d v="2026-02-23T11:00:00"/>
    <x v="0"/>
    <x v="2"/>
    <x v="4"/>
    <x v="1"/>
    <x v="0"/>
    <n v="6.2"/>
    <x v="5"/>
    <x v="2"/>
    <s v="No"/>
    <n v="0"/>
    <s v="Within 24h"/>
    <s v="Slow"/>
    <n v="1"/>
  </r>
  <r>
    <s v="Tkt-0866"/>
    <d v="2026-02-26T10:00:00"/>
    <x v="1"/>
    <x v="0"/>
    <x v="3"/>
    <x v="1"/>
    <x v="0"/>
    <n v="2.5"/>
    <x v="248"/>
    <x v="2"/>
    <s v="Yes"/>
    <n v="1"/>
    <s v="24-48h"/>
    <s v="Medium"/>
    <n v="1"/>
  </r>
  <r>
    <s v="Tkt-0867"/>
    <d v="2026-02-19T14:00:00"/>
    <x v="1"/>
    <x v="0"/>
    <x v="2"/>
    <x v="0"/>
    <x v="0"/>
    <n v="3.4"/>
    <x v="249"/>
    <x v="1"/>
    <s v="Yes"/>
    <n v="1"/>
    <s v="Within 24h"/>
    <s v="Medium"/>
    <n v="1"/>
  </r>
  <r>
    <s v="Tkt-0868"/>
    <d v="2025-12-17T11:00:00"/>
    <x v="0"/>
    <x v="0"/>
    <x v="0"/>
    <x v="0"/>
    <x v="0"/>
    <n v="2.2000000000000002"/>
    <x v="189"/>
    <x v="3"/>
    <s v="Yes"/>
    <n v="1"/>
    <s v="Within 24h"/>
    <s v="Medium"/>
    <n v="1"/>
  </r>
  <r>
    <s v="Tkt-0869"/>
    <d v="2025-12-17T12:00:00"/>
    <x v="0"/>
    <x v="1"/>
    <x v="3"/>
    <x v="3"/>
    <x v="1"/>
    <n v="3.6"/>
    <x v="6"/>
    <x v="0"/>
    <s v="Yes"/>
    <n v="1"/>
    <s v="Within 24h"/>
    <s v="Medium"/>
    <n v="1"/>
  </r>
  <r>
    <s v="Tkt-0870"/>
    <d v="2025-12-09T11:00:00"/>
    <x v="0"/>
    <x v="2"/>
    <x v="2"/>
    <x v="1"/>
    <x v="0"/>
    <n v="8.1999999999999993"/>
    <x v="32"/>
    <x v="3"/>
    <s v="No"/>
    <n v="0"/>
    <s v="Within 24h"/>
    <s v="Slow"/>
    <n v="1"/>
  </r>
  <r>
    <s v="Tkt-0871"/>
    <d v="2026-01-22T21:00:00"/>
    <x v="0"/>
    <x v="0"/>
    <x v="1"/>
    <x v="4"/>
    <x v="2"/>
    <n v="6.2"/>
    <x v="2"/>
    <x v="1"/>
    <s v="No"/>
    <n v="0"/>
    <s v="Within 24h"/>
    <s v="Slow"/>
    <n v="1"/>
  </r>
  <r>
    <s v="Tkt-0872"/>
    <d v="2026-01-09T00:00:00"/>
    <x v="0"/>
    <x v="1"/>
    <x v="2"/>
    <x v="4"/>
    <x v="2"/>
    <n v="6.4"/>
    <x v="249"/>
    <x v="2"/>
    <s v="No"/>
    <n v="0"/>
    <s v="Within 24h"/>
    <s v="Slow"/>
    <n v="1"/>
  </r>
  <r>
    <s v="Tkt-0873"/>
    <d v="2026-01-18T19:00:00"/>
    <x v="0"/>
    <x v="2"/>
    <x v="3"/>
    <x v="0"/>
    <x v="0"/>
    <n v="0.7"/>
    <x v="156"/>
    <x v="1"/>
    <s v="Yes"/>
    <n v="1"/>
    <s v="Within 24h"/>
    <s v="Fast"/>
    <n v="1"/>
  </r>
  <r>
    <s v="Tkt-0874"/>
    <d v="2025-12-11T10:00:00"/>
    <x v="2"/>
    <x v="1"/>
    <x v="2"/>
    <x v="3"/>
    <x v="1"/>
    <n v="1.3"/>
    <x v="219"/>
    <x v="2"/>
    <s v="Yes"/>
    <n v="1"/>
    <s v="Within 24h"/>
    <s v="Medium"/>
    <n v="1"/>
  </r>
  <r>
    <s v="Tkt-0875"/>
    <d v="2025-12-02T13:00:00"/>
    <x v="1"/>
    <x v="1"/>
    <x v="3"/>
    <x v="1"/>
    <x v="0"/>
    <n v="0.1"/>
    <x v="151"/>
    <x v="1"/>
    <s v="Yes"/>
    <n v="1"/>
    <s v="Within 24h"/>
    <s v="Fast"/>
    <n v="1"/>
  </r>
  <r>
    <s v="Tkt-0876"/>
    <d v="2026-02-17T11:00:00"/>
    <x v="0"/>
    <x v="1"/>
    <x v="3"/>
    <x v="4"/>
    <x v="2"/>
    <n v="2.2000000000000002"/>
    <x v="126"/>
    <x v="0"/>
    <s v="Yes"/>
    <n v="1"/>
    <s v="Within 24h"/>
    <s v="Medium"/>
    <n v="1"/>
  </r>
  <r>
    <s v="Tkt-0877"/>
    <d v="2026-02-15T17:00:00"/>
    <x v="0"/>
    <x v="1"/>
    <x v="0"/>
    <x v="0"/>
    <x v="0"/>
    <n v="6.6"/>
    <x v="250"/>
    <x v="2"/>
    <s v="No"/>
    <n v="0"/>
    <s v="24-48h"/>
    <s v="Slow"/>
    <n v="1"/>
  </r>
  <r>
    <s v="Tkt-0878"/>
    <d v="2026-01-04T06:00:00"/>
    <x v="2"/>
    <x v="0"/>
    <x v="4"/>
    <x v="0"/>
    <x v="0"/>
    <n v="5.5"/>
    <x v="251"/>
    <x v="2"/>
    <s v="No"/>
    <n v="0"/>
    <s v="24-48h"/>
    <s v="Slow"/>
    <n v="1"/>
  </r>
  <r>
    <s v="Tkt-0879"/>
    <d v="2026-01-08T08:00:00"/>
    <x v="0"/>
    <x v="1"/>
    <x v="0"/>
    <x v="4"/>
    <x v="2"/>
    <n v="3.6"/>
    <x v="143"/>
    <x v="3"/>
    <s v="Yes"/>
    <n v="1"/>
    <s v="Within 24h"/>
    <s v="Medium"/>
    <n v="1"/>
  </r>
  <r>
    <s v="Tkt-0880"/>
    <d v="2026-02-18T12:00:00"/>
    <x v="0"/>
    <x v="1"/>
    <x v="3"/>
    <x v="1"/>
    <x v="0"/>
    <n v="4.0999999999999996"/>
    <x v="252"/>
    <x v="1"/>
    <s v="No"/>
    <n v="0"/>
    <s v="24-48h"/>
    <s v="Slow"/>
    <n v="1"/>
  </r>
  <r>
    <s v="Tkt-0881"/>
    <d v="2026-01-20T01:00:00"/>
    <x v="0"/>
    <x v="2"/>
    <x v="2"/>
    <x v="0"/>
    <x v="0"/>
    <n v="2.5"/>
    <x v="106"/>
    <x v="3"/>
    <s v="Yes"/>
    <n v="1"/>
    <s v="Within 24h"/>
    <s v="Medium"/>
    <n v="1"/>
  </r>
  <r>
    <s v="Tkt-0882"/>
    <d v="2026-01-16T17:00:00"/>
    <x v="2"/>
    <x v="1"/>
    <x v="0"/>
    <x v="0"/>
    <x v="0"/>
    <n v="4.7"/>
    <x v="42"/>
    <x v="1"/>
    <s v="No"/>
    <n v="0"/>
    <s v="Within 24h"/>
    <s v="Slow"/>
    <n v="1"/>
  </r>
  <r>
    <s v="Tkt-0883"/>
    <d v="2026-01-17T19:00:00"/>
    <x v="1"/>
    <x v="2"/>
    <x v="0"/>
    <x v="4"/>
    <x v="2"/>
    <n v="6.1"/>
    <x v="5"/>
    <x v="0"/>
    <s v="No"/>
    <n v="0"/>
    <s v="Within 24h"/>
    <s v="Slow"/>
    <n v="1"/>
  </r>
  <r>
    <s v="Tkt-0884"/>
    <d v="2026-02-19T08:00:00"/>
    <x v="0"/>
    <x v="0"/>
    <x v="0"/>
    <x v="0"/>
    <x v="0"/>
    <n v="0.2"/>
    <x v="15"/>
    <x v="3"/>
    <s v="Yes"/>
    <n v="1"/>
    <s v="Within 24h"/>
    <s v="Fast"/>
    <n v="1"/>
  </r>
  <r>
    <s v="Tkt-0885"/>
    <d v="2025-12-09T21:00:00"/>
    <x v="1"/>
    <x v="1"/>
    <x v="1"/>
    <x v="0"/>
    <x v="0"/>
    <n v="4.9000000000000004"/>
    <x v="230"/>
    <x v="2"/>
    <s v="No"/>
    <n v="0"/>
    <s v="Within 24h"/>
    <s v="Slow"/>
    <n v="1"/>
  </r>
  <r>
    <s v="Tkt-0886"/>
    <d v="2025-12-23T08:00:00"/>
    <x v="0"/>
    <x v="0"/>
    <x v="3"/>
    <x v="0"/>
    <x v="0"/>
    <n v="6.5"/>
    <x v="144"/>
    <x v="0"/>
    <s v="No"/>
    <n v="0"/>
    <s v="Within 24h"/>
    <s v="Slow"/>
    <n v="1"/>
  </r>
  <r>
    <s v="Tkt-0887"/>
    <d v="2026-02-04T13:00:00"/>
    <x v="0"/>
    <x v="0"/>
    <x v="3"/>
    <x v="0"/>
    <x v="0"/>
    <n v="3.2"/>
    <x v="69"/>
    <x v="1"/>
    <s v="Yes"/>
    <n v="1"/>
    <s v="Within 24h"/>
    <s v="Medium"/>
    <n v="1"/>
  </r>
  <r>
    <s v="Tkt-0888"/>
    <d v="2026-01-15T01:00:00"/>
    <x v="1"/>
    <x v="1"/>
    <x v="2"/>
    <x v="0"/>
    <x v="0"/>
    <n v="6"/>
    <x v="5"/>
    <x v="2"/>
    <s v="No"/>
    <n v="0"/>
    <s v="Within 24h"/>
    <s v="Slow"/>
    <n v="1"/>
  </r>
  <r>
    <s v="Tkt-0889"/>
    <d v="2025-12-08T20:00:00"/>
    <x v="0"/>
    <x v="2"/>
    <x v="2"/>
    <x v="1"/>
    <x v="0"/>
    <n v="11.2"/>
    <x v="109"/>
    <x v="1"/>
    <s v="No"/>
    <n v="0"/>
    <s v="Within 24h"/>
    <s v="Slow"/>
    <n v="1"/>
  </r>
  <r>
    <s v="Tkt-0890"/>
    <d v="2026-01-29T21:00:00"/>
    <x v="0"/>
    <x v="0"/>
    <x v="3"/>
    <x v="0"/>
    <x v="0"/>
    <n v="3.9"/>
    <x v="107"/>
    <x v="2"/>
    <s v="Yes"/>
    <n v="1"/>
    <s v="Within 24h"/>
    <s v="Medium"/>
    <n v="1"/>
  </r>
  <r>
    <s v="Tkt-0891"/>
    <d v="2026-02-10T16:00:00"/>
    <x v="0"/>
    <x v="0"/>
    <x v="4"/>
    <x v="1"/>
    <x v="0"/>
    <n v="5.2"/>
    <x v="198"/>
    <x v="1"/>
    <s v="No"/>
    <n v="0"/>
    <s v="Within 24h"/>
    <s v="Slow"/>
    <n v="1"/>
  </r>
  <r>
    <s v="Tkt-0892"/>
    <d v="2026-02-03T19:00:00"/>
    <x v="0"/>
    <x v="2"/>
    <x v="2"/>
    <x v="0"/>
    <x v="0"/>
    <n v="2.4"/>
    <x v="219"/>
    <x v="2"/>
    <s v="Yes"/>
    <n v="1"/>
    <s v="Within 24h"/>
    <s v="Medium"/>
    <n v="1"/>
  </r>
  <r>
    <s v="Tkt-0893"/>
    <d v="2025-12-13T20:00:00"/>
    <x v="0"/>
    <x v="0"/>
    <x v="4"/>
    <x v="1"/>
    <x v="0"/>
    <n v="4.7"/>
    <x v="148"/>
    <x v="1"/>
    <s v="No"/>
    <n v="0"/>
    <s v="Within 24h"/>
    <s v="Slow"/>
    <n v="1"/>
  </r>
  <r>
    <s v="Tkt-0894"/>
    <d v="2025-12-07T22:00:00"/>
    <x v="0"/>
    <x v="1"/>
    <x v="0"/>
    <x v="0"/>
    <x v="0"/>
    <n v="5.4"/>
    <x v="253"/>
    <x v="3"/>
    <s v="No"/>
    <n v="0"/>
    <s v="Within 24h"/>
    <s v="Slow"/>
    <n v="1"/>
  </r>
  <r>
    <s v="Tkt-0895"/>
    <d v="2026-02-06T04:00:00"/>
    <x v="0"/>
    <x v="1"/>
    <x v="2"/>
    <x v="0"/>
    <x v="0"/>
    <n v="4.7"/>
    <x v="160"/>
    <x v="2"/>
    <s v="No"/>
    <n v="0"/>
    <s v="Within 24h"/>
    <s v="Slow"/>
    <n v="1"/>
  </r>
  <r>
    <s v="Tkt-0896"/>
    <d v="2025-12-27T10:00:00"/>
    <x v="0"/>
    <x v="1"/>
    <x v="3"/>
    <x v="4"/>
    <x v="2"/>
    <n v="1.7"/>
    <x v="254"/>
    <x v="2"/>
    <s v="Yes"/>
    <n v="1"/>
    <s v="Within 24h"/>
    <s v="Medium"/>
    <n v="1"/>
  </r>
  <r>
    <s v="Tkt-0897"/>
    <d v="2025-12-18T06:00:00"/>
    <x v="0"/>
    <x v="0"/>
    <x v="0"/>
    <x v="0"/>
    <x v="0"/>
    <n v="4.7"/>
    <x v="44"/>
    <x v="3"/>
    <s v="No"/>
    <n v="0"/>
    <s v="Within 24h"/>
    <s v="Slow"/>
    <n v="1"/>
  </r>
  <r>
    <s v="Tkt-0898"/>
    <d v="2026-01-02T03:00:00"/>
    <x v="2"/>
    <x v="0"/>
    <x v="3"/>
    <x v="1"/>
    <x v="0"/>
    <n v="7.9"/>
    <x v="126"/>
    <x v="1"/>
    <s v="No"/>
    <n v="0"/>
    <s v="Within 24h"/>
    <s v="Slow"/>
    <n v="1"/>
  </r>
  <r>
    <s v="Tkt-0899"/>
    <d v="2025-12-18T04:00:00"/>
    <x v="1"/>
    <x v="2"/>
    <x v="0"/>
    <x v="0"/>
    <x v="0"/>
    <n v="5.3"/>
    <x v="66"/>
    <x v="2"/>
    <s v="No"/>
    <n v="0"/>
    <s v="Within 24h"/>
    <s v="Slow"/>
    <n v="1"/>
  </r>
  <r>
    <s v="Tkt-0900"/>
    <d v="2025-12-09T05:00:00"/>
    <x v="0"/>
    <x v="1"/>
    <x v="0"/>
    <x v="1"/>
    <x v="0"/>
    <n v="6.6"/>
    <x v="81"/>
    <x v="3"/>
    <s v="No"/>
    <n v="0"/>
    <s v="Within 24h"/>
    <s v="Slow"/>
    <n v="1"/>
  </r>
  <r>
    <s v="Tkt-0901"/>
    <d v="2026-01-18T04:00:00"/>
    <x v="2"/>
    <x v="0"/>
    <x v="2"/>
    <x v="1"/>
    <x v="0"/>
    <n v="3.6"/>
    <x v="97"/>
    <x v="1"/>
    <s v="Yes"/>
    <n v="1"/>
    <s v="Within 24h"/>
    <s v="Medium"/>
    <n v="1"/>
  </r>
  <r>
    <s v="Tkt-0902"/>
    <d v="2026-01-19T20:00:00"/>
    <x v="1"/>
    <x v="2"/>
    <x v="0"/>
    <x v="0"/>
    <x v="0"/>
    <n v="6.1"/>
    <x v="8"/>
    <x v="2"/>
    <s v="No"/>
    <n v="0"/>
    <s v="Within 24h"/>
    <s v="Slow"/>
    <n v="1"/>
  </r>
  <r>
    <s v="Tkt-0903"/>
    <d v="2026-01-03T22:00:00"/>
    <x v="0"/>
    <x v="0"/>
    <x v="3"/>
    <x v="1"/>
    <x v="0"/>
    <n v="4.9000000000000004"/>
    <x v="174"/>
    <x v="2"/>
    <s v="No"/>
    <n v="0"/>
    <s v="Within 24h"/>
    <s v="Slow"/>
    <n v="1"/>
  </r>
  <r>
    <s v="Tkt-0904"/>
    <d v="2025-12-30T10:00:00"/>
    <x v="0"/>
    <x v="1"/>
    <x v="3"/>
    <x v="0"/>
    <x v="0"/>
    <n v="1.8"/>
    <x v="20"/>
    <x v="1"/>
    <s v="Yes"/>
    <n v="1"/>
    <s v="Within 24h"/>
    <s v="Medium"/>
    <n v="1"/>
  </r>
  <r>
    <s v="Tkt-0905"/>
    <d v="2025-12-10T15:00:00"/>
    <x v="0"/>
    <x v="0"/>
    <x v="0"/>
    <x v="1"/>
    <x v="0"/>
    <n v="5"/>
    <x v="166"/>
    <x v="3"/>
    <s v="No"/>
    <n v="0"/>
    <s v="Within 24h"/>
    <s v="Slow"/>
    <n v="1"/>
  </r>
  <r>
    <s v="Tkt-0906"/>
    <d v="2026-01-24T06:00:00"/>
    <x v="0"/>
    <x v="2"/>
    <x v="1"/>
    <x v="1"/>
    <x v="0"/>
    <n v="1.7"/>
    <x v="104"/>
    <x v="2"/>
    <s v="Yes"/>
    <n v="1"/>
    <s v="Within 24h"/>
    <s v="Medium"/>
    <n v="1"/>
  </r>
  <r>
    <s v="Tkt-0907"/>
    <d v="2026-02-21T13:00:00"/>
    <x v="0"/>
    <x v="0"/>
    <x v="0"/>
    <x v="1"/>
    <x v="0"/>
    <n v="2.6"/>
    <x v="105"/>
    <x v="1"/>
    <s v="Yes"/>
    <n v="1"/>
    <s v="Within 24h"/>
    <s v="Medium"/>
    <n v="1"/>
  </r>
  <r>
    <s v="Tkt-0908"/>
    <d v="2025-12-26T22:00:00"/>
    <x v="0"/>
    <x v="0"/>
    <x v="3"/>
    <x v="0"/>
    <x v="0"/>
    <n v="4.7"/>
    <x v="134"/>
    <x v="2"/>
    <s v="No"/>
    <n v="0"/>
    <s v="Within 24h"/>
    <s v="Slow"/>
    <n v="1"/>
  </r>
  <r>
    <s v="Tkt-0909"/>
    <d v="2026-01-20T10:00:00"/>
    <x v="0"/>
    <x v="0"/>
    <x v="3"/>
    <x v="1"/>
    <x v="0"/>
    <n v="4.9000000000000004"/>
    <x v="206"/>
    <x v="1"/>
    <s v="No"/>
    <n v="0"/>
    <s v="24-48h"/>
    <s v="Slow"/>
    <n v="1"/>
  </r>
  <r>
    <s v="Tkt-0910"/>
    <d v="2026-01-02T23:00:00"/>
    <x v="0"/>
    <x v="0"/>
    <x v="0"/>
    <x v="3"/>
    <x v="1"/>
    <n v="1.2"/>
    <x v="109"/>
    <x v="2"/>
    <s v="Yes"/>
    <n v="1"/>
    <s v="Within 24h"/>
    <s v="Medium"/>
    <n v="1"/>
  </r>
  <r>
    <s v="Tkt-0911"/>
    <d v="2026-02-21T13:00:00"/>
    <x v="0"/>
    <x v="2"/>
    <x v="0"/>
    <x v="1"/>
    <x v="0"/>
    <n v="6.8"/>
    <x v="79"/>
    <x v="0"/>
    <s v="No"/>
    <n v="0"/>
    <s v="Within 24h"/>
    <s v="Slow"/>
    <n v="1"/>
  </r>
  <r>
    <s v="Tkt-0912"/>
    <d v="2026-01-23T22:00:00"/>
    <x v="0"/>
    <x v="2"/>
    <x v="4"/>
    <x v="2"/>
    <x v="1"/>
    <n v="5.6"/>
    <x v="59"/>
    <x v="3"/>
    <s v="No"/>
    <n v="0"/>
    <s v="Within 24h"/>
    <s v="Slow"/>
    <n v="1"/>
  </r>
  <r>
    <s v="Tkt-0913"/>
    <d v="2025-12-08T22:00:00"/>
    <x v="0"/>
    <x v="0"/>
    <x v="1"/>
    <x v="0"/>
    <x v="0"/>
    <n v="2.4"/>
    <x v="188"/>
    <x v="3"/>
    <s v="Yes"/>
    <n v="1"/>
    <s v="Within 24h"/>
    <s v="Medium"/>
    <n v="1"/>
  </r>
  <r>
    <s v="Tkt-0914"/>
    <d v="2025-12-12T05:00:00"/>
    <x v="0"/>
    <x v="1"/>
    <x v="0"/>
    <x v="0"/>
    <x v="0"/>
    <n v="0.4"/>
    <x v="154"/>
    <x v="0"/>
    <s v="Yes"/>
    <n v="1"/>
    <s v="Within 24h"/>
    <s v="Fast"/>
    <n v="1"/>
  </r>
  <r>
    <s v="Tkt-0915"/>
    <d v="2025-12-26T12:00:00"/>
    <x v="0"/>
    <x v="1"/>
    <x v="4"/>
    <x v="1"/>
    <x v="0"/>
    <n v="3.8"/>
    <x v="5"/>
    <x v="1"/>
    <s v="Yes"/>
    <n v="1"/>
    <s v="Within 24h"/>
    <s v="Medium"/>
    <n v="1"/>
  </r>
  <r>
    <s v="Tkt-0916"/>
    <d v="2025-12-31T06:00:00"/>
    <x v="0"/>
    <x v="2"/>
    <x v="4"/>
    <x v="0"/>
    <x v="0"/>
    <n v="3.1"/>
    <x v="91"/>
    <x v="3"/>
    <s v="Yes"/>
    <n v="1"/>
    <s v="Within 24h"/>
    <s v="Medium"/>
    <n v="1"/>
  </r>
  <r>
    <s v="Tkt-0917"/>
    <d v="2025-12-20T01:00:00"/>
    <x v="0"/>
    <x v="1"/>
    <x v="2"/>
    <x v="1"/>
    <x v="0"/>
    <n v="4.5"/>
    <x v="159"/>
    <x v="1"/>
    <s v="No"/>
    <n v="0"/>
    <s v="Within 24h"/>
    <s v="Slow"/>
    <n v="1"/>
  </r>
  <r>
    <s v="Tkt-0918"/>
    <d v="2026-02-23T10:00:00"/>
    <x v="0"/>
    <x v="0"/>
    <x v="3"/>
    <x v="0"/>
    <x v="0"/>
    <n v="3.3"/>
    <x v="134"/>
    <x v="2"/>
    <s v="Yes"/>
    <n v="1"/>
    <s v="Within 24h"/>
    <s v="Medium"/>
    <n v="1"/>
  </r>
  <r>
    <s v="Tkt-0919"/>
    <d v="2025-12-17T04:00:00"/>
    <x v="1"/>
    <x v="1"/>
    <x v="3"/>
    <x v="0"/>
    <x v="0"/>
    <n v="0.1"/>
    <x v="71"/>
    <x v="0"/>
    <s v="Yes"/>
    <n v="1"/>
    <s v="Within 24h"/>
    <s v="Fast"/>
    <n v="1"/>
  </r>
  <r>
    <s v="Tkt-0920"/>
    <d v="2026-02-04T14:00:00"/>
    <x v="0"/>
    <x v="1"/>
    <x v="3"/>
    <x v="0"/>
    <x v="0"/>
    <n v="3.2"/>
    <x v="253"/>
    <x v="1"/>
    <s v="Yes"/>
    <n v="1"/>
    <s v="Within 24h"/>
    <s v="Medium"/>
    <n v="1"/>
  </r>
  <r>
    <s v="Tkt-0921"/>
    <d v="2025-12-13T09:00:00"/>
    <x v="0"/>
    <x v="0"/>
    <x v="4"/>
    <x v="1"/>
    <x v="0"/>
    <n v="3.4"/>
    <x v="213"/>
    <x v="1"/>
    <s v="Yes"/>
    <n v="1"/>
    <s v="24-48h"/>
    <s v="Medium"/>
    <n v="1"/>
  </r>
  <r>
    <s v="Tkt-0922"/>
    <d v="2025-12-26T20:00:00"/>
    <x v="0"/>
    <x v="1"/>
    <x v="2"/>
    <x v="0"/>
    <x v="0"/>
    <n v="5.8"/>
    <x v="38"/>
    <x v="3"/>
    <s v="No"/>
    <n v="0"/>
    <s v="Within 24h"/>
    <s v="Slow"/>
    <n v="1"/>
  </r>
  <r>
    <s v="Tkt-0923"/>
    <d v="2026-02-21T10:00:00"/>
    <x v="0"/>
    <x v="0"/>
    <x v="0"/>
    <x v="1"/>
    <x v="0"/>
    <n v="2.5"/>
    <x v="137"/>
    <x v="2"/>
    <s v="Yes"/>
    <n v="1"/>
    <s v="Within 24h"/>
    <s v="Medium"/>
    <n v="1"/>
  </r>
  <r>
    <s v="Tkt-0924"/>
    <d v="2026-02-15T14:00:00"/>
    <x v="0"/>
    <x v="2"/>
    <x v="3"/>
    <x v="0"/>
    <x v="0"/>
    <n v="8.4"/>
    <x v="1"/>
    <x v="3"/>
    <s v="No"/>
    <n v="0"/>
    <s v="Within 24h"/>
    <s v="Slow"/>
    <n v="1"/>
  </r>
  <r>
    <s v="Tkt-0925"/>
    <d v="2026-02-18T08:00:00"/>
    <x v="2"/>
    <x v="0"/>
    <x v="1"/>
    <x v="2"/>
    <x v="1"/>
    <n v="0.1"/>
    <x v="84"/>
    <x v="2"/>
    <s v="Yes"/>
    <n v="1"/>
    <s v="Within 24h"/>
    <s v="Fast"/>
    <n v="1"/>
  </r>
  <r>
    <s v="Tkt-0926"/>
    <d v="2025-12-08T19:00:00"/>
    <x v="0"/>
    <x v="1"/>
    <x v="2"/>
    <x v="0"/>
    <x v="0"/>
    <n v="7.5"/>
    <x v="222"/>
    <x v="3"/>
    <s v="No"/>
    <n v="0"/>
    <s v="Within 24h"/>
    <s v="Slow"/>
    <n v="1"/>
  </r>
  <r>
    <s v="Tkt-0927"/>
    <d v="2026-02-23T17:00:00"/>
    <x v="0"/>
    <x v="1"/>
    <x v="1"/>
    <x v="0"/>
    <x v="0"/>
    <n v="3.6"/>
    <x v="255"/>
    <x v="1"/>
    <s v="Yes"/>
    <n v="1"/>
    <s v="24-48h"/>
    <s v="Medium"/>
    <n v="1"/>
  </r>
  <r>
    <s v="Tkt-0928"/>
    <d v="2026-01-03T10:00:00"/>
    <x v="0"/>
    <x v="1"/>
    <x v="2"/>
    <x v="0"/>
    <x v="0"/>
    <n v="6.3"/>
    <x v="17"/>
    <x v="1"/>
    <s v="No"/>
    <n v="0"/>
    <s v="Within 24h"/>
    <s v="Slow"/>
    <n v="1"/>
  </r>
  <r>
    <s v="Tkt-0929"/>
    <d v="2025-12-23T08:00:00"/>
    <x v="0"/>
    <x v="0"/>
    <x v="3"/>
    <x v="4"/>
    <x v="2"/>
    <n v="4.4000000000000004"/>
    <x v="42"/>
    <x v="0"/>
    <s v="No"/>
    <n v="0"/>
    <s v="Within 24h"/>
    <s v="Slow"/>
    <n v="1"/>
  </r>
  <r>
    <s v="Tkt-0930"/>
    <d v="2025-12-12T19:00:00"/>
    <x v="1"/>
    <x v="1"/>
    <x v="4"/>
    <x v="0"/>
    <x v="0"/>
    <n v="7"/>
    <x v="1"/>
    <x v="1"/>
    <s v="No"/>
    <n v="0"/>
    <s v="Within 24h"/>
    <s v="Slow"/>
    <n v="1"/>
  </r>
  <r>
    <s v="Tkt-0931"/>
    <d v="2026-01-13T13:00:00"/>
    <x v="0"/>
    <x v="1"/>
    <x v="4"/>
    <x v="4"/>
    <x v="2"/>
    <n v="3.2"/>
    <x v="11"/>
    <x v="1"/>
    <s v="Yes"/>
    <n v="1"/>
    <s v="Within 24h"/>
    <s v="Medium"/>
    <n v="1"/>
  </r>
  <r>
    <s v="Tkt-0932"/>
    <d v="2026-01-23T12:00:00"/>
    <x v="0"/>
    <x v="1"/>
    <x v="0"/>
    <x v="0"/>
    <x v="0"/>
    <n v="1.5"/>
    <x v="5"/>
    <x v="1"/>
    <s v="Yes"/>
    <n v="1"/>
    <s v="Within 24h"/>
    <s v="Medium"/>
    <n v="1"/>
  </r>
  <r>
    <s v="Tkt-0933"/>
    <d v="2026-01-07T14:00:00"/>
    <x v="0"/>
    <x v="1"/>
    <x v="3"/>
    <x v="4"/>
    <x v="2"/>
    <n v="7.8"/>
    <x v="214"/>
    <x v="1"/>
    <s v="No"/>
    <n v="0"/>
    <s v="Within 24h"/>
    <s v="Slow"/>
    <n v="1"/>
  </r>
  <r>
    <s v="Tkt-0934"/>
    <d v="2025-12-04T05:00:00"/>
    <x v="1"/>
    <x v="1"/>
    <x v="4"/>
    <x v="1"/>
    <x v="0"/>
    <n v="3.9"/>
    <x v="186"/>
    <x v="0"/>
    <s v="Yes"/>
    <n v="1"/>
    <s v="Within 24h"/>
    <s v="Medium"/>
    <n v="1"/>
  </r>
  <r>
    <s v="Tkt-0935"/>
    <d v="2026-02-22T04:00:00"/>
    <x v="0"/>
    <x v="2"/>
    <x v="0"/>
    <x v="1"/>
    <x v="0"/>
    <n v="4.8"/>
    <x v="114"/>
    <x v="2"/>
    <s v="No"/>
    <n v="0"/>
    <s v="24-48h"/>
    <s v="Slow"/>
    <n v="1"/>
  </r>
  <r>
    <s v="Tkt-0936"/>
    <d v="2025-12-08T14:00:00"/>
    <x v="2"/>
    <x v="0"/>
    <x v="2"/>
    <x v="1"/>
    <x v="0"/>
    <n v="7.3"/>
    <x v="110"/>
    <x v="0"/>
    <s v="No"/>
    <n v="0"/>
    <s v="Within 24h"/>
    <s v="Slow"/>
    <n v="1"/>
  </r>
  <r>
    <s v="Tkt-0937"/>
    <d v="2026-02-20T14:00:00"/>
    <x v="0"/>
    <x v="2"/>
    <x v="4"/>
    <x v="4"/>
    <x v="2"/>
    <n v="1.6"/>
    <x v="61"/>
    <x v="0"/>
    <s v="Yes"/>
    <n v="1"/>
    <s v="Within 24h"/>
    <s v="Medium"/>
    <n v="1"/>
  </r>
  <r>
    <s v="Tkt-0938"/>
    <d v="2026-02-16T07:00:00"/>
    <x v="1"/>
    <x v="1"/>
    <x v="1"/>
    <x v="4"/>
    <x v="2"/>
    <n v="5.7"/>
    <x v="64"/>
    <x v="3"/>
    <s v="No"/>
    <n v="0"/>
    <s v="Within 24h"/>
    <s v="Slow"/>
    <n v="1"/>
  </r>
  <r>
    <s v="Tkt-0939"/>
    <d v="2025-12-04T12:00:00"/>
    <x v="0"/>
    <x v="0"/>
    <x v="0"/>
    <x v="1"/>
    <x v="0"/>
    <n v="2.7"/>
    <x v="44"/>
    <x v="2"/>
    <s v="Yes"/>
    <n v="1"/>
    <s v="Within 24h"/>
    <s v="Medium"/>
    <n v="1"/>
  </r>
  <r>
    <s v="Tkt-0940"/>
    <d v="2026-01-23T16:00:00"/>
    <x v="0"/>
    <x v="0"/>
    <x v="0"/>
    <x v="0"/>
    <x v="0"/>
    <n v="3.9"/>
    <x v="112"/>
    <x v="3"/>
    <s v="Yes"/>
    <n v="1"/>
    <s v="Within 24h"/>
    <s v="Medium"/>
    <n v="1"/>
  </r>
  <r>
    <s v="Tkt-0941"/>
    <d v="2025-12-06T05:00:00"/>
    <x v="0"/>
    <x v="0"/>
    <x v="4"/>
    <x v="0"/>
    <x v="0"/>
    <n v="4.4000000000000004"/>
    <x v="201"/>
    <x v="0"/>
    <s v="No"/>
    <n v="0"/>
    <s v="Within 24h"/>
    <s v="Slow"/>
    <n v="1"/>
  </r>
  <r>
    <s v="Tkt-0942"/>
    <d v="2026-02-09T14:00:00"/>
    <x v="0"/>
    <x v="2"/>
    <x v="0"/>
    <x v="3"/>
    <x v="1"/>
    <n v="0.4"/>
    <x v="122"/>
    <x v="1"/>
    <s v="Yes"/>
    <n v="1"/>
    <s v="Within 24h"/>
    <s v="Fast"/>
    <n v="1"/>
  </r>
  <r>
    <s v="Tkt-0943"/>
    <d v="2026-02-18T06:00:00"/>
    <x v="0"/>
    <x v="1"/>
    <x v="4"/>
    <x v="1"/>
    <x v="0"/>
    <n v="2.2999999999999998"/>
    <x v="42"/>
    <x v="2"/>
    <s v="Yes"/>
    <n v="1"/>
    <s v="Within 24h"/>
    <s v="Medium"/>
    <n v="1"/>
  </r>
  <r>
    <s v="Tkt-0944"/>
    <d v="2025-12-06T20:00:00"/>
    <x v="0"/>
    <x v="2"/>
    <x v="2"/>
    <x v="3"/>
    <x v="1"/>
    <n v="7.6"/>
    <x v="209"/>
    <x v="1"/>
    <s v="No"/>
    <n v="0"/>
    <s v="Within 24h"/>
    <s v="Slow"/>
    <n v="1"/>
  </r>
  <r>
    <s v="Tkt-0945"/>
    <d v="2026-01-15T15:00:00"/>
    <x v="2"/>
    <x v="1"/>
    <x v="0"/>
    <x v="2"/>
    <x v="1"/>
    <n v="6.4"/>
    <x v="231"/>
    <x v="0"/>
    <s v="No"/>
    <n v="0"/>
    <s v="Within 24h"/>
    <s v="Slow"/>
    <n v="1"/>
  </r>
  <r>
    <s v="Tkt-0946"/>
    <d v="2025-12-07T02:00:00"/>
    <x v="1"/>
    <x v="1"/>
    <x v="3"/>
    <x v="0"/>
    <x v="0"/>
    <n v="4"/>
    <x v="30"/>
    <x v="0"/>
    <s v="No"/>
    <n v="0"/>
    <s v="Within 24h"/>
    <s v="Medium"/>
    <n v="1"/>
  </r>
  <r>
    <s v="Tkt-0947"/>
    <d v="2025-12-06T12:00:00"/>
    <x v="0"/>
    <x v="0"/>
    <x v="3"/>
    <x v="0"/>
    <x v="0"/>
    <n v="4.8"/>
    <x v="91"/>
    <x v="0"/>
    <s v="No"/>
    <n v="0"/>
    <s v="Within 24h"/>
    <s v="Slow"/>
    <n v="1"/>
  </r>
  <r>
    <s v="Tkt-0948"/>
    <d v="2026-02-12T05:00:00"/>
    <x v="0"/>
    <x v="0"/>
    <x v="3"/>
    <x v="4"/>
    <x v="2"/>
    <n v="3.5"/>
    <x v="239"/>
    <x v="2"/>
    <s v="Yes"/>
    <n v="1"/>
    <s v="Within 24h"/>
    <s v="Medium"/>
    <n v="1"/>
  </r>
  <r>
    <s v="Tkt-0949"/>
    <d v="2026-02-18T15:00:00"/>
    <x v="0"/>
    <x v="1"/>
    <x v="1"/>
    <x v="4"/>
    <x v="2"/>
    <n v="7.6"/>
    <x v="46"/>
    <x v="3"/>
    <s v="No"/>
    <n v="0"/>
    <s v="Within 24h"/>
    <s v="Slow"/>
    <n v="1"/>
  </r>
  <r>
    <s v="Tkt-0950"/>
    <d v="2025-12-19T12:00:00"/>
    <x v="0"/>
    <x v="0"/>
    <x v="2"/>
    <x v="2"/>
    <x v="1"/>
    <n v="3.7"/>
    <x v="84"/>
    <x v="3"/>
    <s v="Yes"/>
    <n v="1"/>
    <s v="Within 24h"/>
    <s v="Medium"/>
    <n v="1"/>
  </r>
  <r>
    <s v="Tkt-0951"/>
    <d v="2025-12-08T14:00:00"/>
    <x v="0"/>
    <x v="0"/>
    <x v="4"/>
    <x v="0"/>
    <x v="0"/>
    <n v="4.8"/>
    <x v="231"/>
    <x v="1"/>
    <s v="No"/>
    <n v="0"/>
    <s v="Within 24h"/>
    <s v="Slow"/>
    <n v="1"/>
  </r>
  <r>
    <s v="Tkt-0952"/>
    <d v="2026-02-12T03:00:00"/>
    <x v="1"/>
    <x v="1"/>
    <x v="4"/>
    <x v="0"/>
    <x v="0"/>
    <n v="7.1"/>
    <x v="25"/>
    <x v="2"/>
    <s v="No"/>
    <n v="0"/>
    <s v="Within 24h"/>
    <s v="Slow"/>
    <n v="1"/>
  </r>
  <r>
    <s v="Tkt-0953"/>
    <d v="2025-12-01T01:00:00"/>
    <x v="0"/>
    <x v="1"/>
    <x v="3"/>
    <x v="4"/>
    <x v="2"/>
    <n v="2.2999999999999998"/>
    <x v="256"/>
    <x v="1"/>
    <s v="Yes"/>
    <n v="1"/>
    <s v="24-48h"/>
    <s v="Medium"/>
    <n v="1"/>
  </r>
  <r>
    <s v="Tkt-0954"/>
    <d v="2025-12-03T08:00:00"/>
    <x v="0"/>
    <x v="2"/>
    <x v="1"/>
    <x v="4"/>
    <x v="2"/>
    <n v="8.1"/>
    <x v="176"/>
    <x v="1"/>
    <s v="No"/>
    <n v="0"/>
    <s v="Within 24h"/>
    <s v="Slow"/>
    <n v="1"/>
  </r>
  <r>
    <s v="Tkt-0955"/>
    <d v="2026-02-17T04:00:00"/>
    <x v="0"/>
    <x v="2"/>
    <x v="4"/>
    <x v="0"/>
    <x v="0"/>
    <n v="0.4"/>
    <x v="173"/>
    <x v="3"/>
    <s v="Yes"/>
    <n v="1"/>
    <s v="Within 24h"/>
    <s v="Fast"/>
    <n v="1"/>
  </r>
  <r>
    <s v="Tkt-0956"/>
    <d v="2025-12-05T11:00:00"/>
    <x v="0"/>
    <x v="1"/>
    <x v="4"/>
    <x v="0"/>
    <x v="0"/>
    <n v="8.3000000000000007"/>
    <x v="81"/>
    <x v="2"/>
    <s v="No"/>
    <n v="0"/>
    <s v="Within 24h"/>
    <s v="Slow"/>
    <n v="1"/>
  </r>
  <r>
    <s v="Tkt-0957"/>
    <d v="2025-12-25T13:00:00"/>
    <x v="2"/>
    <x v="1"/>
    <x v="2"/>
    <x v="1"/>
    <x v="0"/>
    <n v="3.3"/>
    <x v="54"/>
    <x v="0"/>
    <s v="Yes"/>
    <n v="1"/>
    <s v="Within 24h"/>
    <s v="Medium"/>
    <n v="1"/>
  </r>
  <r>
    <s v="Tkt-0958"/>
    <d v="2026-02-26T13:00:00"/>
    <x v="1"/>
    <x v="1"/>
    <x v="0"/>
    <x v="3"/>
    <x v="1"/>
    <n v="3.6"/>
    <x v="178"/>
    <x v="1"/>
    <s v="Yes"/>
    <n v="1"/>
    <s v="24-48h"/>
    <s v="Medium"/>
    <n v="1"/>
  </r>
  <r>
    <s v="Tkt-0959"/>
    <d v="2026-01-20T19:00:00"/>
    <x v="0"/>
    <x v="2"/>
    <x v="2"/>
    <x v="3"/>
    <x v="1"/>
    <n v="0.1"/>
    <x v="24"/>
    <x v="0"/>
    <s v="Yes"/>
    <n v="1"/>
    <s v="Within 24h"/>
    <s v="Fast"/>
    <n v="1"/>
  </r>
  <r>
    <s v="Tkt-0960"/>
    <d v="2026-02-01T14:00:00"/>
    <x v="1"/>
    <x v="0"/>
    <x v="0"/>
    <x v="0"/>
    <x v="0"/>
    <n v="3.1"/>
    <x v="5"/>
    <x v="2"/>
    <s v="Yes"/>
    <n v="1"/>
    <s v="Within 24h"/>
    <s v="Medium"/>
    <n v="1"/>
  </r>
  <r>
    <s v="Tkt-0961"/>
    <d v="2025-12-28T18:00:00"/>
    <x v="0"/>
    <x v="0"/>
    <x v="3"/>
    <x v="1"/>
    <x v="0"/>
    <n v="1.6"/>
    <x v="195"/>
    <x v="1"/>
    <s v="Yes"/>
    <n v="1"/>
    <s v="Within 24h"/>
    <s v="Medium"/>
    <n v="1"/>
  </r>
  <r>
    <s v="Tkt-0962"/>
    <d v="2026-01-31T20:00:00"/>
    <x v="0"/>
    <x v="2"/>
    <x v="3"/>
    <x v="2"/>
    <x v="1"/>
    <n v="2.7"/>
    <x v="53"/>
    <x v="0"/>
    <s v="Yes"/>
    <n v="1"/>
    <s v="Within 24h"/>
    <s v="Medium"/>
    <n v="1"/>
  </r>
  <r>
    <s v="Tkt-0963"/>
    <d v="2026-02-09T22:00:00"/>
    <x v="0"/>
    <x v="0"/>
    <x v="1"/>
    <x v="0"/>
    <x v="0"/>
    <n v="3.9"/>
    <x v="6"/>
    <x v="0"/>
    <s v="Yes"/>
    <n v="1"/>
    <s v="Within 24h"/>
    <s v="Medium"/>
    <n v="1"/>
  </r>
  <r>
    <s v="Tkt-0964"/>
    <d v="2026-01-22T21:00:00"/>
    <x v="0"/>
    <x v="1"/>
    <x v="2"/>
    <x v="2"/>
    <x v="1"/>
    <n v="6.6"/>
    <x v="4"/>
    <x v="3"/>
    <s v="No"/>
    <n v="0"/>
    <s v="Within 24h"/>
    <s v="Slow"/>
    <n v="1"/>
  </r>
  <r>
    <s v="Tkt-0965"/>
    <d v="2025-12-26T07:00:00"/>
    <x v="0"/>
    <x v="1"/>
    <x v="4"/>
    <x v="0"/>
    <x v="0"/>
    <n v="4.7"/>
    <x v="63"/>
    <x v="2"/>
    <s v="No"/>
    <n v="0"/>
    <s v="Within 24h"/>
    <s v="Slow"/>
    <n v="1"/>
  </r>
  <r>
    <s v="Tkt-0966"/>
    <d v="2025-12-23T23:00:00"/>
    <x v="0"/>
    <x v="0"/>
    <x v="4"/>
    <x v="1"/>
    <x v="0"/>
    <n v="5"/>
    <x v="116"/>
    <x v="2"/>
    <s v="No"/>
    <n v="0"/>
    <s v="Within 24h"/>
    <s v="Slow"/>
    <n v="1"/>
  </r>
  <r>
    <s v="Tkt-0967"/>
    <d v="2025-12-06T14:00:00"/>
    <x v="0"/>
    <x v="0"/>
    <x v="4"/>
    <x v="3"/>
    <x v="1"/>
    <n v="1.5"/>
    <x v="143"/>
    <x v="2"/>
    <s v="Yes"/>
    <n v="1"/>
    <s v="Within 24h"/>
    <s v="Medium"/>
    <n v="1"/>
  </r>
  <r>
    <s v="Tkt-0968"/>
    <d v="2025-12-11T20:00:00"/>
    <x v="0"/>
    <x v="0"/>
    <x v="1"/>
    <x v="0"/>
    <x v="0"/>
    <n v="2"/>
    <x v="160"/>
    <x v="1"/>
    <s v="Yes"/>
    <n v="1"/>
    <s v="Within 24h"/>
    <s v="Medium"/>
    <n v="1"/>
  </r>
  <r>
    <s v="Tkt-0969"/>
    <d v="2025-12-14T12:00:00"/>
    <x v="0"/>
    <x v="0"/>
    <x v="3"/>
    <x v="1"/>
    <x v="0"/>
    <n v="8.6999999999999993"/>
    <x v="17"/>
    <x v="3"/>
    <s v="No"/>
    <n v="0"/>
    <s v="Within 24h"/>
    <s v="Slow"/>
    <n v="1"/>
  </r>
  <r>
    <s v="Tkt-0970"/>
    <d v="2026-02-09T19:00:00"/>
    <x v="0"/>
    <x v="0"/>
    <x v="3"/>
    <x v="0"/>
    <x v="0"/>
    <n v="2.4"/>
    <x v="108"/>
    <x v="1"/>
    <s v="Yes"/>
    <n v="1"/>
    <s v="Within 24h"/>
    <s v="Medium"/>
    <n v="1"/>
  </r>
  <r>
    <s v="Tkt-0971"/>
    <d v="2026-02-05T02:00:00"/>
    <x v="0"/>
    <x v="2"/>
    <x v="0"/>
    <x v="1"/>
    <x v="0"/>
    <n v="8.3000000000000007"/>
    <x v="159"/>
    <x v="2"/>
    <s v="No"/>
    <n v="0"/>
    <s v="Within 24h"/>
    <s v="Slow"/>
    <n v="1"/>
  </r>
  <r>
    <s v="Tkt-0972"/>
    <d v="2025-12-11T19:00:00"/>
    <x v="0"/>
    <x v="0"/>
    <x v="2"/>
    <x v="1"/>
    <x v="0"/>
    <n v="3.6"/>
    <x v="238"/>
    <x v="1"/>
    <s v="Yes"/>
    <n v="1"/>
    <s v="Within 24h"/>
    <s v="Medium"/>
    <n v="1"/>
  </r>
  <r>
    <s v="Tkt-0973"/>
    <d v="2026-01-03T23:00:00"/>
    <x v="0"/>
    <x v="1"/>
    <x v="4"/>
    <x v="0"/>
    <x v="0"/>
    <n v="4.2"/>
    <x v="50"/>
    <x v="0"/>
    <s v="No"/>
    <n v="0"/>
    <s v="Within 24h"/>
    <s v="Slow"/>
    <n v="1"/>
  </r>
  <r>
    <s v="Tkt-0974"/>
    <d v="2026-01-07T13:00:00"/>
    <x v="2"/>
    <x v="0"/>
    <x v="3"/>
    <x v="1"/>
    <x v="0"/>
    <n v="6.9"/>
    <x v="106"/>
    <x v="1"/>
    <s v="No"/>
    <n v="0"/>
    <s v="Within 24h"/>
    <s v="Slow"/>
    <n v="1"/>
  </r>
  <r>
    <s v="Tkt-0975"/>
    <d v="2025-12-04T01:00:00"/>
    <x v="0"/>
    <x v="2"/>
    <x v="0"/>
    <x v="0"/>
    <x v="0"/>
    <n v="7.4"/>
    <x v="241"/>
    <x v="1"/>
    <s v="No"/>
    <n v="0"/>
    <s v="Within 24h"/>
    <s v="Slow"/>
    <n v="1"/>
  </r>
  <r>
    <s v="Tkt-0976"/>
    <d v="2026-01-29T10:00:00"/>
    <x v="0"/>
    <x v="0"/>
    <x v="2"/>
    <x v="1"/>
    <x v="0"/>
    <n v="3.9"/>
    <x v="5"/>
    <x v="2"/>
    <s v="Yes"/>
    <n v="1"/>
    <s v="Within 24h"/>
    <s v="Medium"/>
    <n v="1"/>
  </r>
  <r>
    <s v="Tkt-0977"/>
    <d v="2025-12-12T15:00:00"/>
    <x v="2"/>
    <x v="1"/>
    <x v="0"/>
    <x v="1"/>
    <x v="0"/>
    <n v="3.2"/>
    <x v="46"/>
    <x v="0"/>
    <s v="Yes"/>
    <n v="1"/>
    <s v="Within 24h"/>
    <s v="Medium"/>
    <n v="1"/>
  </r>
  <r>
    <s v="Tkt-0978"/>
    <d v="2026-01-02T17:00:00"/>
    <x v="0"/>
    <x v="2"/>
    <x v="4"/>
    <x v="3"/>
    <x v="1"/>
    <n v="4.0999999999999996"/>
    <x v="3"/>
    <x v="2"/>
    <s v="No"/>
    <n v="0"/>
    <s v="Within 24h"/>
    <s v="Slow"/>
    <n v="1"/>
  </r>
  <r>
    <s v="Tkt-0979"/>
    <d v="2025-12-22T17:00:00"/>
    <x v="0"/>
    <x v="2"/>
    <x v="1"/>
    <x v="1"/>
    <x v="0"/>
    <n v="5"/>
    <x v="219"/>
    <x v="0"/>
    <s v="No"/>
    <n v="0"/>
    <s v="Within 24h"/>
    <s v="Slow"/>
    <n v="1"/>
  </r>
  <r>
    <s v="Tkt-0980"/>
    <d v="2026-01-20T09:00:00"/>
    <x v="0"/>
    <x v="0"/>
    <x v="3"/>
    <x v="0"/>
    <x v="0"/>
    <n v="6.4"/>
    <x v="143"/>
    <x v="0"/>
    <s v="No"/>
    <n v="0"/>
    <s v="Within 24h"/>
    <s v="Slow"/>
    <n v="1"/>
  </r>
  <r>
    <s v="Tkt-0981"/>
    <d v="2026-02-04T13:00:00"/>
    <x v="0"/>
    <x v="2"/>
    <x v="0"/>
    <x v="0"/>
    <x v="0"/>
    <n v="4.2"/>
    <x v="142"/>
    <x v="0"/>
    <s v="No"/>
    <n v="0"/>
    <s v="Within 24h"/>
    <s v="Slow"/>
    <n v="1"/>
  </r>
  <r>
    <s v="Tkt-0982"/>
    <d v="2025-12-04T06:00:00"/>
    <x v="1"/>
    <x v="1"/>
    <x v="4"/>
    <x v="4"/>
    <x v="2"/>
    <n v="5.7"/>
    <x v="170"/>
    <x v="2"/>
    <s v="No"/>
    <n v="0"/>
    <s v="Within 24h"/>
    <s v="Slow"/>
    <n v="1"/>
  </r>
  <r>
    <s v="Tkt-0983"/>
    <d v="2026-01-03T10:00:00"/>
    <x v="2"/>
    <x v="1"/>
    <x v="2"/>
    <x v="4"/>
    <x v="2"/>
    <n v="8.3000000000000007"/>
    <x v="151"/>
    <x v="0"/>
    <s v="No"/>
    <n v="0"/>
    <s v="Within 24h"/>
    <s v="Slow"/>
    <n v="1"/>
  </r>
  <r>
    <s v="Tkt-0984"/>
    <d v="2026-01-23T12:00:00"/>
    <x v="0"/>
    <x v="0"/>
    <x v="3"/>
    <x v="0"/>
    <x v="0"/>
    <n v="5.2"/>
    <x v="71"/>
    <x v="3"/>
    <s v="No"/>
    <n v="0"/>
    <s v="Within 24h"/>
    <s v="Slow"/>
    <n v="1"/>
  </r>
  <r>
    <s v="Tkt-0985"/>
    <d v="2025-12-26T08:00:00"/>
    <x v="0"/>
    <x v="0"/>
    <x v="1"/>
    <x v="0"/>
    <x v="0"/>
    <n v="5"/>
    <x v="28"/>
    <x v="3"/>
    <s v="No"/>
    <n v="0"/>
    <s v="Within 24h"/>
    <s v="Slow"/>
    <n v="1"/>
  </r>
  <r>
    <s v="Tkt-0986"/>
    <d v="2026-01-06T19:00:00"/>
    <x v="0"/>
    <x v="1"/>
    <x v="0"/>
    <x v="3"/>
    <x v="1"/>
    <n v="0.4"/>
    <x v="257"/>
    <x v="3"/>
    <s v="Yes"/>
    <n v="1"/>
    <s v="Within 24h"/>
    <s v="Fast"/>
    <n v="1"/>
  </r>
  <r>
    <s v="Tkt-0987"/>
    <d v="2026-02-03T05:00:00"/>
    <x v="0"/>
    <x v="1"/>
    <x v="3"/>
    <x v="1"/>
    <x v="0"/>
    <n v="0.1"/>
    <x v="101"/>
    <x v="3"/>
    <s v="Yes"/>
    <n v="1"/>
    <s v="Within 24h"/>
    <s v="Fast"/>
    <n v="1"/>
  </r>
  <r>
    <s v="Tkt-0988"/>
    <d v="2026-02-11T16:00:00"/>
    <x v="0"/>
    <x v="1"/>
    <x v="4"/>
    <x v="1"/>
    <x v="0"/>
    <n v="5.2"/>
    <x v="149"/>
    <x v="2"/>
    <s v="No"/>
    <n v="0"/>
    <s v="Within 24h"/>
    <s v="Slow"/>
    <n v="1"/>
  </r>
  <r>
    <s v="Tkt-0989"/>
    <d v="2026-02-22T04:00:00"/>
    <x v="0"/>
    <x v="1"/>
    <x v="2"/>
    <x v="0"/>
    <x v="0"/>
    <n v="4"/>
    <x v="98"/>
    <x v="1"/>
    <s v="No"/>
    <n v="0"/>
    <s v="Within 24h"/>
    <s v="Medium"/>
    <n v="1"/>
  </r>
  <r>
    <s v="Tkt-0990"/>
    <d v="2025-12-29T13:00:00"/>
    <x v="0"/>
    <x v="2"/>
    <x v="0"/>
    <x v="3"/>
    <x v="1"/>
    <n v="2.9"/>
    <x v="118"/>
    <x v="1"/>
    <s v="Yes"/>
    <n v="1"/>
    <s v="Within 24h"/>
    <s v="Medium"/>
    <n v="1"/>
  </r>
  <r>
    <s v="Tkt-0991"/>
    <d v="2025-12-20T21:00:00"/>
    <x v="0"/>
    <x v="0"/>
    <x v="2"/>
    <x v="4"/>
    <x v="2"/>
    <n v="4.8"/>
    <x v="49"/>
    <x v="3"/>
    <s v="No"/>
    <n v="0"/>
    <s v="Within 24h"/>
    <s v="Slow"/>
    <n v="1"/>
  </r>
  <r>
    <s v="Tkt-0992"/>
    <d v="2025-12-24T21:00:00"/>
    <x v="0"/>
    <x v="1"/>
    <x v="4"/>
    <x v="0"/>
    <x v="0"/>
    <n v="4"/>
    <x v="248"/>
    <x v="1"/>
    <s v="No"/>
    <n v="0"/>
    <s v="24-48h"/>
    <s v="Medium"/>
    <n v="1"/>
  </r>
  <r>
    <s v="Tkt-0993"/>
    <d v="2026-01-23T22:00:00"/>
    <x v="0"/>
    <x v="0"/>
    <x v="3"/>
    <x v="3"/>
    <x v="1"/>
    <n v="7"/>
    <x v="23"/>
    <x v="3"/>
    <s v="No"/>
    <n v="0"/>
    <s v="Within 24h"/>
    <s v="Slow"/>
    <n v="1"/>
  </r>
  <r>
    <s v="Tkt-0994"/>
    <d v="2026-02-08T16:00:00"/>
    <x v="0"/>
    <x v="2"/>
    <x v="0"/>
    <x v="1"/>
    <x v="0"/>
    <n v="4.4000000000000004"/>
    <x v="96"/>
    <x v="3"/>
    <s v="No"/>
    <n v="0"/>
    <s v="Within 24h"/>
    <s v="Slow"/>
    <n v="1"/>
  </r>
  <r>
    <s v="Tkt-0995"/>
    <d v="2026-01-02T08:00:00"/>
    <x v="1"/>
    <x v="1"/>
    <x v="2"/>
    <x v="1"/>
    <x v="0"/>
    <n v="2.2999999999999998"/>
    <x v="82"/>
    <x v="1"/>
    <s v="Yes"/>
    <n v="1"/>
    <s v="Within 24h"/>
    <s v="Medium"/>
    <n v="1"/>
  </r>
  <r>
    <s v="Tkt-0996"/>
    <d v="2026-02-10T11:00:00"/>
    <x v="0"/>
    <x v="2"/>
    <x v="0"/>
    <x v="1"/>
    <x v="0"/>
    <n v="6.7"/>
    <x v="147"/>
    <x v="1"/>
    <s v="No"/>
    <n v="0"/>
    <s v="Within 24h"/>
    <s v="Slow"/>
    <n v="1"/>
  </r>
  <r>
    <s v="Tkt-0997"/>
    <d v="2026-02-17T17:00:00"/>
    <x v="1"/>
    <x v="0"/>
    <x v="3"/>
    <x v="1"/>
    <x v="0"/>
    <n v="3.7"/>
    <x v="17"/>
    <x v="0"/>
    <s v="Yes"/>
    <n v="1"/>
    <s v="Within 24h"/>
    <s v="Medium"/>
    <n v="1"/>
  </r>
  <r>
    <s v="Tkt-0998"/>
    <d v="2026-01-02T13:00:00"/>
    <x v="0"/>
    <x v="0"/>
    <x v="0"/>
    <x v="1"/>
    <x v="0"/>
    <n v="5.5"/>
    <x v="137"/>
    <x v="3"/>
    <s v="No"/>
    <n v="0"/>
    <s v="Within 24h"/>
    <s v="Slow"/>
    <n v="1"/>
  </r>
  <r>
    <s v="Tkt-0999"/>
    <d v="2026-02-25T11:00:00"/>
    <x v="0"/>
    <x v="0"/>
    <x v="2"/>
    <x v="4"/>
    <x v="2"/>
    <n v="3"/>
    <x v="258"/>
    <x v="1"/>
    <s v="Yes"/>
    <n v="1"/>
    <s v="24-48h"/>
    <s v="Medium"/>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9B2819D-D723-8949-96B7-FBC0BB05711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8:F9" firstHeaderRow="1" firstDataRow="1" firstDataCol="0"/>
  <pivotFields count="16">
    <pivotField showAll="0"/>
    <pivotField numFmtId="22" showAll="0"/>
    <pivotField showAll="0"/>
    <pivotField showAll="0">
      <items count="4">
        <item x="0"/>
        <item x="1"/>
        <item x="2"/>
        <item t="default"/>
      </items>
    </pivotField>
    <pivotField showAll="0">
      <items count="6">
        <item x="4"/>
        <item x="1"/>
        <item x="2"/>
        <item x="0"/>
        <item x="3"/>
        <item t="default"/>
      </items>
    </pivotField>
    <pivotField dataField="1" showAll="0"/>
    <pivotField showAll="0"/>
    <pivotField showAll="0"/>
    <pivotField showAll="0"/>
    <pivotField showAll="0">
      <items count="5">
        <item x="0"/>
        <item x="3"/>
        <item x="2"/>
        <item x="1"/>
        <item t="default"/>
      </items>
    </pivotField>
    <pivotField showAll="0"/>
    <pivotField showAll="0"/>
    <pivotField showAll="0"/>
    <pivotField showAll="0"/>
    <pivotField showAll="0"/>
    <pivotField dragToRow="0" dragToCol="0" dragToPage="0" showAll="0" defaultSubtotal="0"/>
  </pivotFields>
  <rowItems count="1">
    <i/>
  </rowItems>
  <colItems count="1">
    <i/>
  </colItems>
  <dataFields count="1">
    <dataField name="Average of CSAT_Score" fld="5"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2B99AF-9EFD-3B41-9E9A-CAEC7FF6F2C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H2:I8" firstHeaderRow="1" firstDataRow="1" firstDataCol="1"/>
  <pivotFields count="16">
    <pivotField dataField="1" showAll="0"/>
    <pivotField numFmtId="22" showAll="0"/>
    <pivotField showAll="0"/>
    <pivotField showAll="0">
      <items count="4">
        <item x="0"/>
        <item x="1"/>
        <item x="2"/>
        <item t="default"/>
      </items>
    </pivotField>
    <pivotField axis="axisRow" showAll="0">
      <items count="6">
        <item x="4"/>
        <item x="1"/>
        <item x="2"/>
        <item x="0"/>
        <item x="3"/>
        <item t="default"/>
      </items>
    </pivotField>
    <pivotField showAll="0"/>
    <pivotField showAll="0"/>
    <pivotField showAll="0"/>
    <pivotField showAll="0"/>
    <pivotField showAll="0">
      <items count="5">
        <item x="0"/>
        <item x="3"/>
        <item x="2"/>
        <item x="1"/>
        <item t="default"/>
      </items>
    </pivotField>
    <pivotField showAll="0"/>
    <pivotField showAll="0"/>
    <pivotField showAll="0"/>
    <pivotField showAll="0"/>
    <pivotField showAll="0"/>
    <pivotField dragToRow="0" dragToCol="0" dragToPage="0" showAll="0" defaultSubtotal="0"/>
  </pivotFields>
  <rowFields count="1">
    <field x="4"/>
  </rowFields>
  <rowItems count="6">
    <i>
      <x/>
    </i>
    <i>
      <x v="1"/>
    </i>
    <i>
      <x v="2"/>
    </i>
    <i>
      <x v="3"/>
    </i>
    <i>
      <x v="4"/>
    </i>
    <i t="grand">
      <x/>
    </i>
  </rowItems>
  <colItems count="1">
    <i/>
  </colItems>
  <dataFields count="1">
    <dataField name="Count of Ticket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EC3E6C-3952-5645-A430-FE8C4E73348E}"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C3" firstHeaderRow="0" firstDataRow="1" firstDataCol="0"/>
  <pivotFields count="16">
    <pivotField showAll="0"/>
    <pivotField numFmtId="22" showAll="0"/>
    <pivotField showAll="0"/>
    <pivotField showAll="0">
      <items count="4">
        <item x="0"/>
        <item x="1"/>
        <item x="2"/>
        <item t="default"/>
      </items>
    </pivotField>
    <pivotField showAll="0">
      <items count="6">
        <item x="4"/>
        <item x="1"/>
        <item x="2"/>
        <item x="0"/>
        <item x="3"/>
        <item t="default"/>
      </items>
    </pivotField>
    <pivotField showAll="0"/>
    <pivotField showAll="0"/>
    <pivotField showAll="0"/>
    <pivotField showAll="0"/>
    <pivotField showAll="0">
      <items count="5">
        <item x="0"/>
        <item x="3"/>
        <item x="2"/>
        <item x="1"/>
        <item t="default"/>
      </items>
    </pivotField>
    <pivotField showAll="0"/>
    <pivotField dataField="1" showAll="0"/>
    <pivotField showAll="0"/>
    <pivotField showAll="0"/>
    <pivotField dataField="1" showAll="0"/>
    <pivotField dataField="1" dragToRow="0" dragToCol="0" dragToPage="0" showAll="0" defaultSubtotal="0"/>
  </pivotFields>
  <rowItems count="1">
    <i/>
  </rowItems>
  <colFields count="1">
    <field x="-2"/>
  </colFields>
  <colItems count="3">
    <i>
      <x/>
    </i>
    <i i="1">
      <x v="1"/>
    </i>
    <i i="2">
      <x v="2"/>
    </i>
  </colItems>
  <dataFields count="3">
    <dataField name="Sum of SLA_Flag" fld="11" baseField="0" baseItem="0"/>
    <dataField name="Sum of Ticket_Count" fld="14" baseField="0" baseItem="0"/>
    <dataField name="Sum of SLA%" fld="15"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82A002E-C95A-F341-A7FA-D438FF81A26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6:B11" firstHeaderRow="1" firstDataRow="1" firstDataCol="1"/>
  <pivotFields count="16">
    <pivotField showAll="0"/>
    <pivotField numFmtId="22" showAll="0"/>
    <pivotField showAll="0"/>
    <pivotField showAll="0">
      <items count="4">
        <item x="0"/>
        <item x="1"/>
        <item x="2"/>
        <item t="default"/>
      </items>
    </pivotField>
    <pivotField showAll="0">
      <items count="6">
        <item x="4"/>
        <item x="1"/>
        <item x="2"/>
        <item x="0"/>
        <item x="3"/>
        <item t="default"/>
      </items>
    </pivotField>
    <pivotField showAll="0"/>
    <pivotField showAll="0"/>
    <pivotField showAll="0"/>
    <pivotField showAll="0"/>
    <pivotField axis="axisRow" showAll="0" sortType="ascending">
      <items count="5">
        <item x="0"/>
        <item x="3"/>
        <item x="2"/>
        <item x="1"/>
        <item t="default"/>
      </items>
    </pivotField>
    <pivotField showAll="0"/>
    <pivotField showAll="0"/>
    <pivotField showAll="0"/>
    <pivotField showAll="0"/>
    <pivotField showAll="0"/>
    <pivotField dataField="1" dragToRow="0" dragToCol="0" dragToPage="0" showAll="0" defaultSubtotal="0"/>
  </pivotFields>
  <rowFields count="1">
    <field x="9"/>
  </rowFields>
  <rowItems count="5">
    <i>
      <x/>
    </i>
    <i>
      <x v="1"/>
    </i>
    <i>
      <x v="2"/>
    </i>
    <i>
      <x v="3"/>
    </i>
    <i t="grand">
      <x/>
    </i>
  </rowItems>
  <colItems count="1">
    <i/>
  </colItems>
  <dataFields count="1">
    <dataField name="Sum of SLA%" fld="15" baseField="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FCFBC4D-B4E5-5149-8A5B-71B5A5017B53}"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10:I14" firstHeaderRow="1" firstDataRow="1" firstDataCol="1"/>
  <pivotFields count="16">
    <pivotField showAll="0"/>
    <pivotField numFmtId="22" showAll="0"/>
    <pivotField axis="axisRow" showAll="0">
      <items count="4">
        <item x="0"/>
        <item x="2"/>
        <item x="1"/>
        <item t="default"/>
      </items>
    </pivotField>
    <pivotField showAll="0">
      <items count="4">
        <item x="0"/>
        <item x="1"/>
        <item x="2"/>
        <item t="default"/>
      </items>
    </pivotField>
    <pivotField showAll="0">
      <items count="6">
        <item x="4"/>
        <item x="1"/>
        <item x="2"/>
        <item x="0"/>
        <item x="3"/>
        <item t="default"/>
      </items>
    </pivotField>
    <pivotField showAll="0"/>
    <pivotField showAll="0"/>
    <pivotField showAll="0"/>
    <pivotField showAll="0"/>
    <pivotField showAll="0">
      <items count="5">
        <item x="0"/>
        <item x="3"/>
        <item x="2"/>
        <item x="1"/>
        <item t="default"/>
      </items>
    </pivotField>
    <pivotField showAll="0"/>
    <pivotField showAll="0"/>
    <pivotField showAll="0"/>
    <pivotField showAll="0"/>
    <pivotField dataField="1" showAll="0"/>
    <pivotField dragToRow="0" dragToCol="0" dragToPage="0" showAll="0" defaultSubtotal="0"/>
  </pivotFields>
  <rowFields count="1">
    <field x="2"/>
  </rowFields>
  <rowItems count="4">
    <i>
      <x/>
    </i>
    <i>
      <x v="1"/>
    </i>
    <i>
      <x v="2"/>
    </i>
    <i t="grand">
      <x/>
    </i>
  </rowItems>
  <colItems count="1">
    <i/>
  </colItems>
  <dataFields count="1">
    <dataField name="Sum of Ticket_Count" fld="14"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C15C2A-D424-9C49-965D-714D38114ED1}"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E2:F6" firstHeaderRow="1" firstDataRow="1" firstDataCol="1"/>
  <pivotFields count="16">
    <pivotField dataField="1" showAll="0"/>
    <pivotField numFmtId="22" showAll="0"/>
    <pivotField showAll="0"/>
    <pivotField showAll="0">
      <items count="4">
        <item x="0"/>
        <item x="1"/>
        <item x="2"/>
        <item t="default"/>
      </items>
    </pivotField>
    <pivotField showAll="0">
      <items count="6">
        <item x="4"/>
        <item x="1"/>
        <item x="2"/>
        <item x="0"/>
        <item x="3"/>
        <item t="default"/>
      </items>
    </pivotField>
    <pivotField showAll="0">
      <items count="6">
        <item x="2"/>
        <item x="3"/>
        <item x="4"/>
        <item x="1"/>
        <item x="0"/>
        <item t="default"/>
      </items>
    </pivotField>
    <pivotField axis="axisRow" showAll="0" sortType="descending">
      <items count="4">
        <item x="0"/>
        <item x="2"/>
        <item x="1"/>
        <item t="default"/>
      </items>
    </pivotField>
    <pivotField showAll="0"/>
    <pivotField showAll="0"/>
    <pivotField showAll="0">
      <items count="5">
        <item x="0"/>
        <item x="3"/>
        <item x="2"/>
        <item x="1"/>
        <item t="default"/>
      </items>
    </pivotField>
    <pivotField showAll="0"/>
    <pivotField showAll="0"/>
    <pivotField showAll="0"/>
    <pivotField showAll="0"/>
    <pivotField showAll="0"/>
    <pivotField dragToRow="0" dragToCol="0" dragToPage="0" showAll="0" defaultSubtotal="0"/>
  </pivotFields>
  <rowFields count="1">
    <field x="6"/>
  </rowFields>
  <rowItems count="4">
    <i>
      <x/>
    </i>
    <i>
      <x v="1"/>
    </i>
    <i>
      <x v="2"/>
    </i>
    <i t="grand">
      <x/>
    </i>
  </rowItems>
  <colItems count="1">
    <i/>
  </colItems>
  <dataFields count="1">
    <dataField name="Count of Ticket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6" count="1" selected="0">
            <x v="0"/>
          </reference>
        </references>
      </pivotArea>
    </chartFormat>
    <chartFormat chart="0" format="2">
      <pivotArea type="data" outline="0" fieldPosition="0">
        <references count="2">
          <reference field="4294967294" count="1" selected="0">
            <x v="0"/>
          </reference>
          <reference field="6" count="1" selected="0">
            <x v="1"/>
          </reference>
        </references>
      </pivotArea>
    </chartFormat>
    <chartFormat chart="0" format="3">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D9105C4-0589-6F4C-ACD5-877B66B962F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E8:E9" firstHeaderRow="1" firstDataRow="1" firstDataCol="0"/>
  <pivotFields count="16">
    <pivotField showAll="0"/>
    <pivotField numFmtId="22" showAll="0"/>
    <pivotField showAll="0"/>
    <pivotField showAll="0">
      <items count="4">
        <item x="0"/>
        <item x="1"/>
        <item x="2"/>
        <item t="default"/>
      </items>
    </pivotField>
    <pivotField showAll="0">
      <items count="6">
        <item x="4"/>
        <item x="1"/>
        <item x="2"/>
        <item x="0"/>
        <item x="3"/>
        <item t="default"/>
      </items>
    </pivotField>
    <pivotField showAll="0"/>
    <pivotField showAll="0"/>
    <pivotField showAll="0"/>
    <pivotField dataField="1" showAll="0">
      <items count="260">
        <item x="5"/>
        <item x="173"/>
        <item x="186"/>
        <item x="53"/>
        <item x="83"/>
        <item x="180"/>
        <item x="166"/>
        <item x="103"/>
        <item x="242"/>
        <item x="224"/>
        <item x="228"/>
        <item x="236"/>
        <item x="249"/>
        <item x="194"/>
        <item x="254"/>
        <item x="175"/>
        <item x="182"/>
        <item x="59"/>
        <item x="165"/>
        <item x="117"/>
        <item x="158"/>
        <item x="44"/>
        <item x="225"/>
        <item x="37"/>
        <item x="84"/>
        <item x="153"/>
        <item x="100"/>
        <item x="189"/>
        <item x="239"/>
        <item x="237"/>
        <item x="191"/>
        <item x="38"/>
        <item x="39"/>
        <item x="14"/>
        <item x="215"/>
        <item x="124"/>
        <item x="184"/>
        <item x="146"/>
        <item x="75"/>
        <item x="147"/>
        <item x="43"/>
        <item x="23"/>
        <item x="72"/>
        <item x="131"/>
        <item x="230"/>
        <item x="179"/>
        <item x="102"/>
        <item x="90"/>
        <item x="112"/>
        <item x="196"/>
        <item x="204"/>
        <item x="244"/>
        <item x="11"/>
        <item x="214"/>
        <item x="143"/>
        <item x="135"/>
        <item x="142"/>
        <item x="0"/>
        <item x="187"/>
        <item x="41"/>
        <item x="58"/>
        <item x="86"/>
        <item x="24"/>
        <item x="170"/>
        <item x="125"/>
        <item x="136"/>
        <item x="45"/>
        <item x="82"/>
        <item x="22"/>
        <item x="33"/>
        <item x="13"/>
        <item x="25"/>
        <item x="92"/>
        <item x="202"/>
        <item x="6"/>
        <item x="97"/>
        <item x="28"/>
        <item x="115"/>
        <item x="150"/>
        <item x="240"/>
        <item x="61"/>
        <item x="20"/>
        <item x="128"/>
        <item x="119"/>
        <item x="8"/>
        <item x="77"/>
        <item x="160"/>
        <item x="4"/>
        <item x="9"/>
        <item x="212"/>
        <item x="188"/>
        <item x="98"/>
        <item x="105"/>
        <item x="198"/>
        <item x="15"/>
        <item x="12"/>
        <item x="227"/>
        <item x="81"/>
        <item x="149"/>
        <item x="110"/>
        <item x="85"/>
        <item x="74"/>
        <item x="63"/>
        <item x="29"/>
        <item x="123"/>
        <item x="176"/>
        <item x="109"/>
        <item x="17"/>
        <item x="51"/>
        <item x="2"/>
        <item x="66"/>
        <item x="134"/>
        <item x="46"/>
        <item x="201"/>
        <item x="231"/>
        <item x="1"/>
        <item x="159"/>
        <item x="40"/>
        <item x="101"/>
        <item x="137"/>
        <item x="108"/>
        <item x="67"/>
        <item x="141"/>
        <item x="93"/>
        <item x="91"/>
        <item x="70"/>
        <item x="127"/>
        <item x="36"/>
        <item x="209"/>
        <item x="31"/>
        <item x="21"/>
        <item x="79"/>
        <item x="140"/>
        <item x="18"/>
        <item x="49"/>
        <item x="253"/>
        <item x="148"/>
        <item x="26"/>
        <item x="181"/>
        <item x="106"/>
        <item x="30"/>
        <item x="171"/>
        <item x="56"/>
        <item x="238"/>
        <item x="241"/>
        <item x="3"/>
        <item x="16"/>
        <item x="42"/>
        <item x="96"/>
        <item x="54"/>
        <item x="151"/>
        <item x="161"/>
        <item x="47"/>
        <item x="35"/>
        <item x="129"/>
        <item x="95"/>
        <item x="154"/>
        <item x="207"/>
        <item x="205"/>
        <item x="138"/>
        <item x="167"/>
        <item x="130"/>
        <item x="116"/>
        <item x="65"/>
        <item x="126"/>
        <item x="219"/>
        <item x="104"/>
        <item x="118"/>
        <item x="78"/>
        <item x="203"/>
        <item x="193"/>
        <item x="7"/>
        <item x="195"/>
        <item x="144"/>
        <item x="145"/>
        <item x="50"/>
        <item x="177"/>
        <item x="152"/>
        <item x="64"/>
        <item x="113"/>
        <item x="257"/>
        <item x="80"/>
        <item x="120"/>
        <item x="157"/>
        <item x="222"/>
        <item x="89"/>
        <item x="10"/>
        <item x="76"/>
        <item x="220"/>
        <item x="122"/>
        <item x="71"/>
        <item x="174"/>
        <item x="183"/>
        <item x="69"/>
        <item x="34"/>
        <item x="107"/>
        <item x="163"/>
        <item x="88"/>
        <item x="52"/>
        <item x="168"/>
        <item x="132"/>
        <item x="99"/>
        <item x="111"/>
        <item x="156"/>
        <item x="164"/>
        <item x="216"/>
        <item x="32"/>
        <item x="172"/>
        <item x="199"/>
        <item x="229"/>
        <item x="57"/>
        <item x="235"/>
        <item x="155"/>
        <item x="190"/>
        <item x="217"/>
        <item x="73"/>
        <item x="60"/>
        <item x="62"/>
        <item x="213"/>
        <item x="210"/>
        <item x="162"/>
        <item x="94"/>
        <item x="246"/>
        <item x="243"/>
        <item x="221"/>
        <item x="223"/>
        <item x="206"/>
        <item x="252"/>
        <item x="200"/>
        <item x="211"/>
        <item x="178"/>
        <item x="114"/>
        <item x="192"/>
        <item x="245"/>
        <item x="19"/>
        <item x="197"/>
        <item x="169"/>
        <item x="48"/>
        <item x="55"/>
        <item x="121"/>
        <item x="139"/>
        <item x="185"/>
        <item x="87"/>
        <item x="133"/>
        <item x="208"/>
        <item x="251"/>
        <item x="68"/>
        <item x="248"/>
        <item x="255"/>
        <item x="233"/>
        <item x="27"/>
        <item x="218"/>
        <item x="250"/>
        <item x="256"/>
        <item x="232"/>
        <item x="226"/>
        <item x="258"/>
        <item x="234"/>
        <item x="247"/>
        <item t="default"/>
      </items>
    </pivotField>
    <pivotField showAll="0">
      <items count="5">
        <item x="0"/>
        <item x="3"/>
        <item x="2"/>
        <item x="1"/>
        <item t="default"/>
      </items>
    </pivotField>
    <pivotField showAll="0"/>
    <pivotField showAll="0"/>
    <pivotField showAll="0"/>
    <pivotField showAll="0"/>
    <pivotField showAll="0"/>
    <pivotField dragToRow="0" dragToCol="0" dragToPage="0" showAll="0" defaultSubtotal="0"/>
  </pivotFields>
  <rowItems count="1">
    <i/>
  </rowItems>
  <colItems count="1">
    <i/>
  </colItems>
  <dataFields count="1">
    <dataField name="Average of ResolutionTimeHrs" fld="8" subtotal="average"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1E7CDD3-887C-3142-8117-A0B8B2AE3C9D}" autoFormatId="16" applyNumberFormats="0" applyBorderFormats="0" applyFontFormats="0" applyPatternFormats="0" applyAlignmentFormats="0" applyWidthHeightFormats="0">
  <queryTableRefresh nextId="16">
    <queryTableFields count="15">
      <queryTableField id="1" name="TicketID" tableColumnId="1"/>
      <queryTableField id="2" name="CreatedDate" tableColumnId="2"/>
      <queryTableField id="3" name="Status" tableColumnId="3"/>
      <queryTableField id="4" name="Channel" tableColumnId="4"/>
      <queryTableField id="5" name="Group" tableColumnId="5"/>
      <queryTableField id="6" name="CSAT_Score" tableColumnId="6"/>
      <queryTableField id="7" name="CSAT_Category" tableColumnId="7"/>
      <queryTableField id="8" name="ResponseTimeHrs" tableColumnId="8"/>
      <queryTableField id="9" name="ResolutionTimeHrs" tableColumnId="9"/>
      <queryTableField id="10" name="WeekNumber" tableColumnId="10"/>
      <queryTableField id="11" name="SLA_Met" tableColumnId="11"/>
      <queryTableField id="12" name="SLA_Flag" tableColumnId="12"/>
      <queryTableField id="13" name="Resolution_Bucket" tableColumnId="13"/>
      <queryTableField id="14" name="Response_Speed_Bucket" tableColumnId="14"/>
      <queryTableField id="15" name="Ticket_Count" tableColumnId="1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nnel" xr10:uid="{F2CC73D4-3A05-084A-A3B3-EA378869CD61}" sourceName="Channel">
  <pivotTables>
    <pivotTable tabId="4" name="PivotTable8"/>
    <pivotTable tabId="4" name="PivotTable10"/>
    <pivotTable tabId="4" name="PivotTable11"/>
    <pivotTable tabId="4" name="PivotTable12"/>
    <pivotTable tabId="4" name="PivotTable13"/>
    <pivotTable tabId="4" name="PivotTable7"/>
    <pivotTable tabId="4" name="PivotTable9"/>
  </pivotTables>
  <data>
    <tabular pivotCacheId="1194604466">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oup" xr10:uid="{22FD6EA0-E41B-EE41-9F62-849D4A15232C}" sourceName="Group">
  <pivotTables>
    <pivotTable tabId="4" name="PivotTable8"/>
    <pivotTable tabId="4" name="PivotTable10"/>
    <pivotTable tabId="4" name="PivotTable11"/>
    <pivotTable tabId="4" name="PivotTable12"/>
    <pivotTable tabId="4" name="PivotTable13"/>
    <pivotTable tabId="4" name="PivotTable7"/>
    <pivotTable tabId="4" name="PivotTable9"/>
  </pivotTables>
  <data>
    <tabular pivotCacheId="1194604466">
      <items count="5">
        <i x="4" s="1"/>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Number" xr10:uid="{49BBED2F-43E0-6144-A143-48D6540B79E6}" sourceName="WeekNumber">
  <pivotTables>
    <pivotTable tabId="4" name="PivotTable8"/>
    <pivotTable tabId="4" name="PivotTable10"/>
    <pivotTable tabId="4" name="PivotTable11"/>
    <pivotTable tabId="4" name="PivotTable12"/>
    <pivotTable tabId="4" name="PivotTable13"/>
    <pivotTable tabId="4" name="PivotTable7"/>
    <pivotTable tabId="4" name="PivotTable9"/>
  </pivotTables>
  <data>
    <tabular pivotCacheId="1194604466">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nnel" xr10:uid="{4F07B02B-A910-5A4D-BFF0-8FCFDB2DBC63}" cache="Slicer_Channel" caption="Channel" style="SlicerStyleDark1" rowHeight="251883"/>
  <slicer name="Group" xr10:uid="{5AE10195-CBEA-9441-B065-5E527C21C748}" cache="Slicer_Group" caption="Group" style="SlicerStyleDark1" rowHeight="251883"/>
  <slicer name="WeekNumber" xr10:uid="{E8ED4CCE-0877-3049-ACE4-7211B58B46C5}" cache="Slicer_WeekNumber" caption="WeekNumber" style="SlicerStyleDark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8E32D45-7551-7748-98EC-99BBDDA04A74}" name="customer_tickets_SIMPLE_PERFECT" displayName="customer_tickets_SIMPLE_PERFECT" ref="A1:O1001" tableType="queryTable" totalsRowShown="0">
  <autoFilter ref="A1:O1001" xr:uid="{F8E32D45-7551-7748-98EC-99BBDDA04A74}"/>
  <tableColumns count="15">
    <tableColumn id="1" xr3:uid="{3201A9C6-DFC5-5F47-AFC5-43CCB4E70BCD}" uniqueName="1" name="TicketID" queryTableFieldId="1" dataDxfId="11"/>
    <tableColumn id="2" xr3:uid="{C0973C9E-2F41-144B-9321-4A49DE5E3F9F}" uniqueName="2" name="CreatedDate" queryTableFieldId="2" dataDxfId="10"/>
    <tableColumn id="3" xr3:uid="{F5C607EB-A9BA-6D4D-8941-CFD5079235C7}" uniqueName="3" name="Status" queryTableFieldId="3" dataDxfId="9"/>
    <tableColumn id="4" xr3:uid="{3B40C28E-4F18-7B48-9D62-CF0770993CB5}" uniqueName="4" name="Channel" queryTableFieldId="4" dataDxfId="8"/>
    <tableColumn id="5" xr3:uid="{5987D3A1-D4E1-964D-9F60-5550819AE257}" uniqueName="5" name="Group" queryTableFieldId="5" dataDxfId="7"/>
    <tableColumn id="6" xr3:uid="{007F8C40-39BD-904B-9057-6F51ECD570A1}" uniqueName="6" name="CSAT_Score" queryTableFieldId="6" dataDxfId="6"/>
    <tableColumn id="7" xr3:uid="{C9880F68-F7DB-8946-86E0-B73C5ECB94C7}" uniqueName="7" name="CSAT_Category" queryTableFieldId="7" dataDxfId="5"/>
    <tableColumn id="8" xr3:uid="{CD62C8ED-5C33-3A4E-A10C-77D69E238AEC}" uniqueName="8" name="ResponseTimeHrs" queryTableFieldId="8"/>
    <tableColumn id="9" xr3:uid="{871EE8D2-CC1E-DD4B-832E-430CAA5F2D01}" uniqueName="9" name="ResolutionTimeHrs" queryTableFieldId="9"/>
    <tableColumn id="10" xr3:uid="{1DB86233-2D69-6643-9D75-F1FC37079B2B}" uniqueName="10" name="WeekNumber" queryTableFieldId="10" dataDxfId="4"/>
    <tableColumn id="11" xr3:uid="{BD94D4D2-4DB5-6C4E-ADDA-975CBD2C303F}" uniqueName="11" name="SLA_Met" queryTableFieldId="11" dataDxfId="3"/>
    <tableColumn id="12" xr3:uid="{0211C932-8EF4-4E4F-8E34-C0FDC7FB3A51}" uniqueName="12" name="SLA_Flag" queryTableFieldId="12" dataDxfId="2"/>
    <tableColumn id="13" xr3:uid="{ED3A15C7-24F2-3247-8257-B2E289A2DAB2}" uniqueName="13" name="Resolution_Bucket" queryTableFieldId="13" dataDxfId="1"/>
    <tableColumn id="14" xr3:uid="{5E2C7C0D-B978-D94B-B965-9EC476C3B5D9}" uniqueName="14" name="Response_Speed_Bucket" queryTableFieldId="14" dataDxfId="0"/>
    <tableColumn id="15" xr3:uid="{6D17B252-CF2D-4B43-B613-E1AA2087DF20}" uniqueName="15" name="Ticket_Count" queryTableFieldId="1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EFD6A-43CB-884D-9FCC-84B17480F3A7}">
  <dimension ref="A1:O1001"/>
  <sheetViews>
    <sheetView tabSelected="1" workbookViewId="0">
      <selection activeCell="G34" sqref="G34"/>
    </sheetView>
  </sheetViews>
  <sheetFormatPr baseColWidth="10" defaultRowHeight="16" x14ac:dyDescent="0.2"/>
  <cols>
    <col min="1" max="1" width="10.5" bestFit="1" customWidth="1"/>
    <col min="2" max="2" width="14.33203125" bestFit="1" customWidth="1"/>
    <col min="3" max="3" width="9" bestFit="1" customWidth="1"/>
    <col min="4" max="5" width="10.5" bestFit="1" customWidth="1"/>
    <col min="6" max="6" width="13.5" bestFit="1" customWidth="1"/>
    <col min="7" max="7" width="16.33203125" bestFit="1" customWidth="1"/>
    <col min="8" max="8" width="19" bestFit="1" customWidth="1"/>
    <col min="9" max="9" width="19.6640625" bestFit="1" customWidth="1"/>
    <col min="10" max="10" width="15" bestFit="1" customWidth="1"/>
    <col min="12" max="12" width="11.1640625" bestFit="1" customWidth="1"/>
    <col min="13" max="13" width="19.33203125" bestFit="1" customWidth="1"/>
    <col min="14" max="14" width="24.6640625" bestFit="1" customWidth="1"/>
    <col min="15" max="15" width="14.5" bestFit="1" customWidth="1"/>
  </cols>
  <sheetData>
    <row r="1" spans="1:15" x14ac:dyDescent="0.2">
      <c r="A1" t="s">
        <v>0</v>
      </c>
      <c r="B1" t="s">
        <v>1</v>
      </c>
      <c r="C1" t="s">
        <v>2</v>
      </c>
      <c r="D1" t="s">
        <v>3</v>
      </c>
      <c r="E1" t="s">
        <v>4</v>
      </c>
      <c r="F1" t="s">
        <v>5</v>
      </c>
      <c r="G1" t="s">
        <v>6</v>
      </c>
      <c r="H1" t="s">
        <v>7</v>
      </c>
      <c r="I1" t="s">
        <v>8</v>
      </c>
      <c r="J1" t="s">
        <v>9</v>
      </c>
      <c r="K1" t="s">
        <v>10</v>
      </c>
      <c r="L1" t="s">
        <v>27</v>
      </c>
      <c r="M1" t="s">
        <v>28</v>
      </c>
      <c r="N1" t="s">
        <v>29</v>
      </c>
      <c r="O1" t="s">
        <v>1035</v>
      </c>
    </row>
    <row r="2" spans="1:15" x14ac:dyDescent="0.2">
      <c r="A2" t="s">
        <v>30</v>
      </c>
      <c r="B2" s="1">
        <v>46000.875</v>
      </c>
      <c r="C2" t="s">
        <v>11</v>
      </c>
      <c r="D2" t="s">
        <v>12</v>
      </c>
      <c r="E2" t="s">
        <v>13</v>
      </c>
      <c r="F2">
        <v>5</v>
      </c>
      <c r="G2" t="s">
        <v>14</v>
      </c>
      <c r="H2">
        <v>7.5</v>
      </c>
      <c r="I2">
        <v>7.3</v>
      </c>
      <c r="J2">
        <v>9</v>
      </c>
      <c r="K2" t="s">
        <v>15</v>
      </c>
      <c r="L2">
        <v>0</v>
      </c>
      <c r="M2" t="s">
        <v>31</v>
      </c>
      <c r="N2" t="s">
        <v>32</v>
      </c>
      <c r="O2">
        <v>1</v>
      </c>
    </row>
    <row r="3" spans="1:15" x14ac:dyDescent="0.2">
      <c r="A3" t="s">
        <v>33</v>
      </c>
      <c r="B3" s="1">
        <v>46078.041666666664</v>
      </c>
      <c r="C3" t="s">
        <v>11</v>
      </c>
      <c r="D3" t="s">
        <v>16</v>
      </c>
      <c r="E3" t="s">
        <v>13</v>
      </c>
      <c r="F3">
        <v>5</v>
      </c>
      <c r="G3" t="s">
        <v>14</v>
      </c>
      <c r="H3">
        <v>5</v>
      </c>
      <c r="I3">
        <v>13.2</v>
      </c>
      <c r="J3">
        <v>12</v>
      </c>
      <c r="K3" t="s">
        <v>15</v>
      </c>
      <c r="L3">
        <v>0</v>
      </c>
      <c r="M3" t="s">
        <v>31</v>
      </c>
      <c r="N3" t="s">
        <v>32</v>
      </c>
      <c r="O3">
        <v>1</v>
      </c>
    </row>
    <row r="4" spans="1:15" x14ac:dyDescent="0.2">
      <c r="A4" t="s">
        <v>34</v>
      </c>
      <c r="B4" s="1">
        <v>46046.708333333336</v>
      </c>
      <c r="C4" t="s">
        <v>11</v>
      </c>
      <c r="D4" t="s">
        <v>17</v>
      </c>
      <c r="E4" t="s">
        <v>18</v>
      </c>
      <c r="F4">
        <v>4</v>
      </c>
      <c r="G4" t="s">
        <v>14</v>
      </c>
      <c r="H4">
        <v>2.7</v>
      </c>
      <c r="I4">
        <v>12.6</v>
      </c>
      <c r="J4">
        <v>11</v>
      </c>
      <c r="K4" t="s">
        <v>19</v>
      </c>
      <c r="L4">
        <v>1</v>
      </c>
      <c r="M4" t="s">
        <v>31</v>
      </c>
      <c r="N4" t="s">
        <v>35</v>
      </c>
      <c r="O4">
        <v>1</v>
      </c>
    </row>
    <row r="5" spans="1:15" x14ac:dyDescent="0.2">
      <c r="A5" t="s">
        <v>36</v>
      </c>
      <c r="B5" s="1">
        <v>46053.833333333336</v>
      </c>
      <c r="C5" t="s">
        <v>11</v>
      </c>
      <c r="D5" t="s">
        <v>16</v>
      </c>
      <c r="E5" t="s">
        <v>13</v>
      </c>
      <c r="F5">
        <v>5</v>
      </c>
      <c r="G5" t="s">
        <v>14</v>
      </c>
      <c r="H5">
        <v>5.3</v>
      </c>
      <c r="I5">
        <v>16.3</v>
      </c>
      <c r="J5">
        <v>10</v>
      </c>
      <c r="K5" t="s">
        <v>15</v>
      </c>
      <c r="L5">
        <v>0</v>
      </c>
      <c r="M5" t="s">
        <v>31</v>
      </c>
      <c r="N5" t="s">
        <v>32</v>
      </c>
      <c r="O5">
        <v>1</v>
      </c>
    </row>
    <row r="6" spans="1:15" x14ac:dyDescent="0.2">
      <c r="A6" t="s">
        <v>37</v>
      </c>
      <c r="B6" s="1">
        <v>46068.125</v>
      </c>
      <c r="C6" t="s">
        <v>20</v>
      </c>
      <c r="D6" t="s">
        <v>17</v>
      </c>
      <c r="E6" t="s">
        <v>13</v>
      </c>
      <c r="F6">
        <v>5</v>
      </c>
      <c r="G6" t="s">
        <v>14</v>
      </c>
      <c r="H6">
        <v>3.1</v>
      </c>
      <c r="I6">
        <v>10.4</v>
      </c>
      <c r="J6">
        <v>12</v>
      </c>
      <c r="K6" t="s">
        <v>19</v>
      </c>
      <c r="L6">
        <v>1</v>
      </c>
      <c r="M6" t="s">
        <v>31</v>
      </c>
      <c r="N6" t="s">
        <v>35</v>
      </c>
      <c r="O6">
        <v>1</v>
      </c>
    </row>
    <row r="7" spans="1:15" x14ac:dyDescent="0.2">
      <c r="A7" t="s">
        <v>38</v>
      </c>
      <c r="B7" s="1">
        <v>46012.916666666664</v>
      </c>
      <c r="C7" t="s">
        <v>20</v>
      </c>
      <c r="D7" t="s">
        <v>16</v>
      </c>
      <c r="E7" t="s">
        <v>21</v>
      </c>
      <c r="F7">
        <v>5</v>
      </c>
      <c r="G7" t="s">
        <v>14</v>
      </c>
      <c r="H7">
        <v>2.5</v>
      </c>
      <c r="I7">
        <v>1</v>
      </c>
      <c r="J7">
        <v>9</v>
      </c>
      <c r="K7" t="s">
        <v>19</v>
      </c>
      <c r="L7">
        <v>1</v>
      </c>
      <c r="M7" t="s">
        <v>31</v>
      </c>
      <c r="N7" t="s">
        <v>35</v>
      </c>
      <c r="O7">
        <v>1</v>
      </c>
    </row>
    <row r="8" spans="1:15" x14ac:dyDescent="0.2">
      <c r="A8" t="s">
        <v>39</v>
      </c>
      <c r="B8" s="1">
        <v>46006.458333333336</v>
      </c>
      <c r="C8" t="s">
        <v>22</v>
      </c>
      <c r="D8" t="s">
        <v>16</v>
      </c>
      <c r="E8" t="s">
        <v>23</v>
      </c>
      <c r="F8">
        <v>5</v>
      </c>
      <c r="G8" t="s">
        <v>14</v>
      </c>
      <c r="H8">
        <v>1.3</v>
      </c>
      <c r="I8">
        <v>9</v>
      </c>
      <c r="J8">
        <v>11</v>
      </c>
      <c r="K8" t="s">
        <v>19</v>
      </c>
      <c r="L8">
        <v>1</v>
      </c>
      <c r="M8" t="s">
        <v>31</v>
      </c>
      <c r="N8" t="s">
        <v>35</v>
      </c>
      <c r="O8">
        <v>1</v>
      </c>
    </row>
    <row r="9" spans="1:15" x14ac:dyDescent="0.2">
      <c r="A9" t="s">
        <v>40</v>
      </c>
      <c r="B9" s="1">
        <v>46078</v>
      </c>
      <c r="C9" t="s">
        <v>11</v>
      </c>
      <c r="D9" t="s">
        <v>17</v>
      </c>
      <c r="E9" t="s">
        <v>21</v>
      </c>
      <c r="F9">
        <v>1</v>
      </c>
      <c r="G9" t="s">
        <v>24</v>
      </c>
      <c r="H9">
        <v>0.1</v>
      </c>
      <c r="I9">
        <v>18.899999999999999</v>
      </c>
      <c r="J9">
        <v>10</v>
      </c>
      <c r="K9" t="s">
        <v>19</v>
      </c>
      <c r="L9">
        <v>1</v>
      </c>
      <c r="M9" t="s">
        <v>31</v>
      </c>
      <c r="N9" t="s">
        <v>41</v>
      </c>
      <c r="O9">
        <v>1</v>
      </c>
    </row>
    <row r="10" spans="1:15" x14ac:dyDescent="0.2">
      <c r="A10" t="s">
        <v>42</v>
      </c>
      <c r="B10" s="1">
        <v>46070.75</v>
      </c>
      <c r="C10" t="s">
        <v>11</v>
      </c>
      <c r="D10" t="s">
        <v>12</v>
      </c>
      <c r="E10" t="s">
        <v>13</v>
      </c>
      <c r="F10">
        <v>5</v>
      </c>
      <c r="G10" t="s">
        <v>14</v>
      </c>
      <c r="H10">
        <v>3.2</v>
      </c>
      <c r="I10">
        <v>10.1</v>
      </c>
      <c r="J10">
        <v>9</v>
      </c>
      <c r="K10" t="s">
        <v>19</v>
      </c>
      <c r="L10">
        <v>1</v>
      </c>
      <c r="M10" t="s">
        <v>31</v>
      </c>
      <c r="N10" t="s">
        <v>35</v>
      </c>
      <c r="O10">
        <v>1</v>
      </c>
    </row>
    <row r="11" spans="1:15" x14ac:dyDescent="0.2">
      <c r="A11" t="s">
        <v>43</v>
      </c>
      <c r="B11" s="1">
        <v>46052.333333333336</v>
      </c>
      <c r="C11" t="s">
        <v>11</v>
      </c>
      <c r="D11" t="s">
        <v>16</v>
      </c>
      <c r="E11" t="s">
        <v>23</v>
      </c>
      <c r="F11">
        <v>2</v>
      </c>
      <c r="G11" t="s">
        <v>24</v>
      </c>
      <c r="H11">
        <v>4.5999999999999996</v>
      </c>
      <c r="I11">
        <v>10.5</v>
      </c>
      <c r="J11">
        <v>11</v>
      </c>
      <c r="K11" t="s">
        <v>15</v>
      </c>
      <c r="L11">
        <v>0</v>
      </c>
      <c r="M11" t="s">
        <v>31</v>
      </c>
      <c r="N11" t="s">
        <v>32</v>
      </c>
      <c r="O11">
        <v>1</v>
      </c>
    </row>
    <row r="12" spans="1:15" x14ac:dyDescent="0.2">
      <c r="A12" t="s">
        <v>44</v>
      </c>
      <c r="B12" s="1">
        <v>46005</v>
      </c>
      <c r="C12" t="s">
        <v>22</v>
      </c>
      <c r="D12" t="s">
        <v>12</v>
      </c>
      <c r="E12" t="s">
        <v>13</v>
      </c>
      <c r="F12">
        <v>4</v>
      </c>
      <c r="G12" t="s">
        <v>14</v>
      </c>
      <c r="H12">
        <v>4</v>
      </c>
      <c r="I12">
        <v>20.399999999999999</v>
      </c>
      <c r="J12">
        <v>9</v>
      </c>
      <c r="K12" t="s">
        <v>15</v>
      </c>
      <c r="L12">
        <v>0</v>
      </c>
      <c r="M12" t="s">
        <v>31</v>
      </c>
      <c r="N12" t="s">
        <v>35</v>
      </c>
      <c r="O12">
        <v>1</v>
      </c>
    </row>
    <row r="13" spans="1:15" x14ac:dyDescent="0.2">
      <c r="A13" t="s">
        <v>45</v>
      </c>
      <c r="B13" s="1">
        <v>46010.75</v>
      </c>
      <c r="C13" t="s">
        <v>11</v>
      </c>
      <c r="D13" t="s">
        <v>17</v>
      </c>
      <c r="E13" t="s">
        <v>13</v>
      </c>
      <c r="F13">
        <v>4</v>
      </c>
      <c r="G13" t="s">
        <v>14</v>
      </c>
      <c r="H13">
        <v>3.2</v>
      </c>
      <c r="I13">
        <v>6.8</v>
      </c>
      <c r="J13">
        <v>11</v>
      </c>
      <c r="K13" t="s">
        <v>19</v>
      </c>
      <c r="L13">
        <v>1</v>
      </c>
      <c r="M13" t="s">
        <v>31</v>
      </c>
      <c r="N13" t="s">
        <v>35</v>
      </c>
      <c r="O13">
        <v>1</v>
      </c>
    </row>
    <row r="14" spans="1:15" x14ac:dyDescent="0.2">
      <c r="A14" t="s">
        <v>46</v>
      </c>
      <c r="B14" s="1">
        <v>45998.083333333336</v>
      </c>
      <c r="C14" t="s">
        <v>11</v>
      </c>
      <c r="D14" t="s">
        <v>17</v>
      </c>
      <c r="E14" t="s">
        <v>18</v>
      </c>
      <c r="F14">
        <v>4</v>
      </c>
      <c r="G14" t="s">
        <v>14</v>
      </c>
      <c r="H14">
        <v>1.8</v>
      </c>
      <c r="I14">
        <v>1</v>
      </c>
      <c r="J14">
        <v>10</v>
      </c>
      <c r="K14" t="s">
        <v>19</v>
      </c>
      <c r="L14">
        <v>1</v>
      </c>
      <c r="M14" t="s">
        <v>31</v>
      </c>
      <c r="N14" t="s">
        <v>35</v>
      </c>
      <c r="O14">
        <v>1</v>
      </c>
    </row>
    <row r="15" spans="1:15" x14ac:dyDescent="0.2">
      <c r="A15" t="s">
        <v>47</v>
      </c>
      <c r="B15" s="1">
        <v>46012.458333333336</v>
      </c>
      <c r="C15" t="s">
        <v>11</v>
      </c>
      <c r="D15" t="s">
        <v>12</v>
      </c>
      <c r="E15" t="s">
        <v>13</v>
      </c>
      <c r="F15">
        <v>4</v>
      </c>
      <c r="G15" t="s">
        <v>14</v>
      </c>
      <c r="H15">
        <v>5.7</v>
      </c>
      <c r="I15">
        <v>11.2</v>
      </c>
      <c r="J15">
        <v>10</v>
      </c>
      <c r="K15" t="s">
        <v>15</v>
      </c>
      <c r="L15">
        <v>0</v>
      </c>
      <c r="M15" t="s">
        <v>31</v>
      </c>
      <c r="N15" t="s">
        <v>32</v>
      </c>
      <c r="O15">
        <v>1</v>
      </c>
    </row>
    <row r="16" spans="1:15" x14ac:dyDescent="0.2">
      <c r="A16" t="s">
        <v>48</v>
      </c>
      <c r="B16" s="1">
        <v>46053.416666666664</v>
      </c>
      <c r="C16" t="s">
        <v>20</v>
      </c>
      <c r="D16" t="s">
        <v>16</v>
      </c>
      <c r="E16" t="s">
        <v>23</v>
      </c>
      <c r="F16">
        <v>5</v>
      </c>
      <c r="G16" t="s">
        <v>14</v>
      </c>
      <c r="H16">
        <v>0.9</v>
      </c>
      <c r="I16">
        <v>8.6</v>
      </c>
      <c r="J16">
        <v>9</v>
      </c>
      <c r="K16" t="s">
        <v>19</v>
      </c>
      <c r="L16">
        <v>1</v>
      </c>
      <c r="M16" t="s">
        <v>31</v>
      </c>
      <c r="N16" t="s">
        <v>41</v>
      </c>
      <c r="O16">
        <v>1</v>
      </c>
    </row>
    <row r="17" spans="1:15" x14ac:dyDescent="0.2">
      <c r="A17" t="s">
        <v>49</v>
      </c>
      <c r="B17" s="1">
        <v>46006.666666666664</v>
      </c>
      <c r="C17" t="s">
        <v>20</v>
      </c>
      <c r="D17" t="s">
        <v>17</v>
      </c>
      <c r="E17" t="s">
        <v>23</v>
      </c>
      <c r="F17">
        <v>4</v>
      </c>
      <c r="G17" t="s">
        <v>14</v>
      </c>
      <c r="H17">
        <v>6.1</v>
      </c>
      <c r="I17">
        <v>4.8</v>
      </c>
      <c r="J17">
        <v>11</v>
      </c>
      <c r="K17" t="s">
        <v>15</v>
      </c>
      <c r="L17">
        <v>0</v>
      </c>
      <c r="M17" t="s">
        <v>31</v>
      </c>
      <c r="N17" t="s">
        <v>32</v>
      </c>
      <c r="O17">
        <v>1</v>
      </c>
    </row>
    <row r="18" spans="1:15" x14ac:dyDescent="0.2">
      <c r="A18" t="s">
        <v>50</v>
      </c>
      <c r="B18" s="1">
        <v>46081.791666666664</v>
      </c>
      <c r="C18" t="s">
        <v>11</v>
      </c>
      <c r="D18" t="s">
        <v>12</v>
      </c>
      <c r="E18" t="s">
        <v>23</v>
      </c>
      <c r="F18">
        <v>5</v>
      </c>
      <c r="G18" t="s">
        <v>14</v>
      </c>
      <c r="H18">
        <v>1.7</v>
      </c>
      <c r="I18">
        <v>11.1</v>
      </c>
      <c r="J18">
        <v>12</v>
      </c>
      <c r="K18" t="s">
        <v>19</v>
      </c>
      <c r="L18">
        <v>1</v>
      </c>
      <c r="M18" t="s">
        <v>31</v>
      </c>
      <c r="N18" t="s">
        <v>35</v>
      </c>
      <c r="O18">
        <v>1</v>
      </c>
    </row>
    <row r="19" spans="1:15" x14ac:dyDescent="0.2">
      <c r="A19" t="s">
        <v>51</v>
      </c>
      <c r="B19" s="1">
        <v>45992.458333333336</v>
      </c>
      <c r="C19" t="s">
        <v>11</v>
      </c>
      <c r="D19" t="s">
        <v>16</v>
      </c>
      <c r="E19" t="s">
        <v>21</v>
      </c>
      <c r="F19">
        <v>4</v>
      </c>
      <c r="G19" t="s">
        <v>14</v>
      </c>
      <c r="H19">
        <v>2.2999999999999998</v>
      </c>
      <c r="I19">
        <v>16.399999999999999</v>
      </c>
      <c r="J19">
        <v>10</v>
      </c>
      <c r="K19" t="s">
        <v>19</v>
      </c>
      <c r="L19">
        <v>1</v>
      </c>
      <c r="M19" t="s">
        <v>31</v>
      </c>
      <c r="N19" t="s">
        <v>35</v>
      </c>
      <c r="O19">
        <v>1</v>
      </c>
    </row>
    <row r="20" spans="1:15" x14ac:dyDescent="0.2">
      <c r="A20" t="s">
        <v>52</v>
      </c>
      <c r="B20" s="1">
        <v>46038.666666666664</v>
      </c>
      <c r="C20" t="s">
        <v>11</v>
      </c>
      <c r="D20" t="s">
        <v>17</v>
      </c>
      <c r="E20" t="s">
        <v>13</v>
      </c>
      <c r="F20">
        <v>2</v>
      </c>
      <c r="G20" t="s">
        <v>24</v>
      </c>
      <c r="H20">
        <v>0.5</v>
      </c>
      <c r="I20">
        <v>12.4</v>
      </c>
      <c r="J20">
        <v>12</v>
      </c>
      <c r="K20" t="s">
        <v>19</v>
      </c>
      <c r="L20">
        <v>1</v>
      </c>
      <c r="M20" t="s">
        <v>31</v>
      </c>
      <c r="N20" t="s">
        <v>41</v>
      </c>
      <c r="O20">
        <v>1</v>
      </c>
    </row>
    <row r="21" spans="1:15" x14ac:dyDescent="0.2">
      <c r="A21" t="s">
        <v>53</v>
      </c>
      <c r="B21" s="1">
        <v>46062.75</v>
      </c>
      <c r="C21" t="s">
        <v>11</v>
      </c>
      <c r="D21" t="s">
        <v>12</v>
      </c>
      <c r="E21" t="s">
        <v>25</v>
      </c>
      <c r="F21">
        <v>5</v>
      </c>
      <c r="G21" t="s">
        <v>14</v>
      </c>
      <c r="H21">
        <v>2.9</v>
      </c>
      <c r="I21">
        <v>15</v>
      </c>
      <c r="J21">
        <v>12</v>
      </c>
      <c r="K21" t="s">
        <v>19</v>
      </c>
      <c r="L21">
        <v>1</v>
      </c>
      <c r="M21" t="s">
        <v>31</v>
      </c>
      <c r="N21" t="s">
        <v>35</v>
      </c>
      <c r="O21">
        <v>1</v>
      </c>
    </row>
    <row r="22" spans="1:15" x14ac:dyDescent="0.2">
      <c r="A22" t="s">
        <v>54</v>
      </c>
      <c r="B22" s="1">
        <v>46038.875</v>
      </c>
      <c r="C22" t="s">
        <v>11</v>
      </c>
      <c r="D22" t="s">
        <v>16</v>
      </c>
      <c r="E22" t="s">
        <v>18</v>
      </c>
      <c r="F22">
        <v>4</v>
      </c>
      <c r="G22" t="s">
        <v>14</v>
      </c>
      <c r="H22">
        <v>6.6</v>
      </c>
      <c r="I22">
        <v>27</v>
      </c>
      <c r="J22">
        <v>9</v>
      </c>
      <c r="K22" t="s">
        <v>15</v>
      </c>
      <c r="L22">
        <v>0</v>
      </c>
      <c r="M22" t="s">
        <v>55</v>
      </c>
      <c r="N22" t="s">
        <v>32</v>
      </c>
      <c r="O22">
        <v>1</v>
      </c>
    </row>
    <row r="23" spans="1:15" x14ac:dyDescent="0.2">
      <c r="A23" t="s">
        <v>56</v>
      </c>
      <c r="B23" s="1">
        <v>46070.5</v>
      </c>
      <c r="C23" t="s">
        <v>20</v>
      </c>
      <c r="D23" t="s">
        <v>12</v>
      </c>
      <c r="E23" t="s">
        <v>25</v>
      </c>
      <c r="F23">
        <v>4</v>
      </c>
      <c r="G23" t="s">
        <v>14</v>
      </c>
      <c r="H23">
        <v>5.5</v>
      </c>
      <c r="I23">
        <v>9.8000000000000007</v>
      </c>
      <c r="J23">
        <v>9</v>
      </c>
      <c r="K23" t="s">
        <v>15</v>
      </c>
      <c r="L23">
        <v>0</v>
      </c>
      <c r="M23" t="s">
        <v>31</v>
      </c>
      <c r="N23" t="s">
        <v>32</v>
      </c>
      <c r="O23">
        <v>1</v>
      </c>
    </row>
    <row r="24" spans="1:15" x14ac:dyDescent="0.2">
      <c r="A24" t="s">
        <v>57</v>
      </c>
      <c r="B24" s="1">
        <v>46069.541666666664</v>
      </c>
      <c r="C24" t="s">
        <v>11</v>
      </c>
      <c r="D24" t="s">
        <v>17</v>
      </c>
      <c r="E24" t="s">
        <v>18</v>
      </c>
      <c r="F24">
        <v>5</v>
      </c>
      <c r="G24" t="s">
        <v>14</v>
      </c>
      <c r="H24">
        <v>6.6</v>
      </c>
      <c r="I24">
        <v>14.7</v>
      </c>
      <c r="J24">
        <v>9</v>
      </c>
      <c r="K24" t="s">
        <v>15</v>
      </c>
      <c r="L24">
        <v>0</v>
      </c>
      <c r="M24" t="s">
        <v>31</v>
      </c>
      <c r="N24" t="s">
        <v>32</v>
      </c>
      <c r="O24">
        <v>1</v>
      </c>
    </row>
    <row r="25" spans="1:15" x14ac:dyDescent="0.2">
      <c r="A25" t="s">
        <v>58</v>
      </c>
      <c r="B25" s="1">
        <v>46037.208333333336</v>
      </c>
      <c r="C25" t="s">
        <v>11</v>
      </c>
      <c r="D25" t="s">
        <v>17</v>
      </c>
      <c r="E25" t="s">
        <v>13</v>
      </c>
      <c r="F25">
        <v>4</v>
      </c>
      <c r="G25" t="s">
        <v>14</v>
      </c>
      <c r="H25">
        <v>5.5</v>
      </c>
      <c r="I25">
        <v>8.4</v>
      </c>
      <c r="J25">
        <v>11</v>
      </c>
      <c r="K25" t="s">
        <v>15</v>
      </c>
      <c r="L25">
        <v>0</v>
      </c>
      <c r="M25" t="s">
        <v>31</v>
      </c>
      <c r="N25" t="s">
        <v>32</v>
      </c>
      <c r="O25">
        <v>1</v>
      </c>
    </row>
    <row r="26" spans="1:15" x14ac:dyDescent="0.2">
      <c r="A26" t="s">
        <v>59</v>
      </c>
      <c r="B26" s="1">
        <v>46048.958333333336</v>
      </c>
      <c r="C26" t="s">
        <v>11</v>
      </c>
      <c r="D26" t="s">
        <v>17</v>
      </c>
      <c r="E26" t="s">
        <v>23</v>
      </c>
      <c r="F26">
        <v>2</v>
      </c>
      <c r="G26" t="s">
        <v>24</v>
      </c>
      <c r="H26">
        <v>1.4</v>
      </c>
      <c r="I26">
        <v>5.7</v>
      </c>
      <c r="J26">
        <v>10</v>
      </c>
      <c r="K26" t="s">
        <v>19</v>
      </c>
      <c r="L26">
        <v>1</v>
      </c>
      <c r="M26" t="s">
        <v>31</v>
      </c>
      <c r="N26" t="s">
        <v>35</v>
      </c>
      <c r="O26">
        <v>1</v>
      </c>
    </row>
    <row r="27" spans="1:15" x14ac:dyDescent="0.2">
      <c r="A27" t="s">
        <v>60</v>
      </c>
      <c r="B27" s="1">
        <v>46023.291666666664</v>
      </c>
      <c r="C27" t="s">
        <v>11</v>
      </c>
      <c r="D27" t="s">
        <v>16</v>
      </c>
      <c r="E27" t="s">
        <v>13</v>
      </c>
      <c r="F27">
        <v>4</v>
      </c>
      <c r="G27" t="s">
        <v>14</v>
      </c>
      <c r="H27">
        <v>3.4</v>
      </c>
      <c r="I27">
        <v>7.8</v>
      </c>
      <c r="J27">
        <v>10</v>
      </c>
      <c r="K27" t="s">
        <v>19</v>
      </c>
      <c r="L27">
        <v>1</v>
      </c>
      <c r="M27" t="s">
        <v>31</v>
      </c>
      <c r="N27" t="s">
        <v>35</v>
      </c>
      <c r="O27">
        <v>1</v>
      </c>
    </row>
    <row r="28" spans="1:15" x14ac:dyDescent="0.2">
      <c r="A28" t="s">
        <v>61</v>
      </c>
      <c r="B28" s="1">
        <v>46066.5</v>
      </c>
      <c r="C28" t="s">
        <v>20</v>
      </c>
      <c r="D28" t="s">
        <v>17</v>
      </c>
      <c r="E28" t="s">
        <v>25</v>
      </c>
      <c r="F28">
        <v>5</v>
      </c>
      <c r="G28" t="s">
        <v>14</v>
      </c>
      <c r="H28">
        <v>2.2000000000000002</v>
      </c>
      <c r="I28">
        <v>8.6999999999999993</v>
      </c>
      <c r="J28">
        <v>12</v>
      </c>
      <c r="K28" t="s">
        <v>19</v>
      </c>
      <c r="L28">
        <v>1</v>
      </c>
      <c r="M28" t="s">
        <v>31</v>
      </c>
      <c r="N28" t="s">
        <v>35</v>
      </c>
      <c r="O28">
        <v>1</v>
      </c>
    </row>
    <row r="29" spans="1:15" x14ac:dyDescent="0.2">
      <c r="A29" t="s">
        <v>62</v>
      </c>
      <c r="B29" s="1">
        <v>46071.291666666664</v>
      </c>
      <c r="C29" t="s">
        <v>11</v>
      </c>
      <c r="D29" t="s">
        <v>17</v>
      </c>
      <c r="E29" t="s">
        <v>18</v>
      </c>
      <c r="F29">
        <v>5</v>
      </c>
      <c r="G29" t="s">
        <v>14</v>
      </c>
      <c r="H29">
        <v>7.5</v>
      </c>
      <c r="I29">
        <v>15.4</v>
      </c>
      <c r="J29">
        <v>9</v>
      </c>
      <c r="K29" t="s">
        <v>15</v>
      </c>
      <c r="L29">
        <v>0</v>
      </c>
      <c r="M29" t="s">
        <v>31</v>
      </c>
      <c r="N29" t="s">
        <v>32</v>
      </c>
      <c r="O29">
        <v>1</v>
      </c>
    </row>
    <row r="30" spans="1:15" x14ac:dyDescent="0.2">
      <c r="A30" t="s">
        <v>63</v>
      </c>
      <c r="B30" s="1">
        <v>46044.166666666664</v>
      </c>
      <c r="C30" t="s">
        <v>11</v>
      </c>
      <c r="D30" t="s">
        <v>12</v>
      </c>
      <c r="E30" t="s">
        <v>13</v>
      </c>
      <c r="F30">
        <v>5</v>
      </c>
      <c r="G30" t="s">
        <v>14</v>
      </c>
      <c r="H30">
        <v>1.2</v>
      </c>
      <c r="I30">
        <v>31.3</v>
      </c>
      <c r="J30">
        <v>11</v>
      </c>
      <c r="K30" t="s">
        <v>19</v>
      </c>
      <c r="L30">
        <v>1</v>
      </c>
      <c r="M30" t="s">
        <v>55</v>
      </c>
      <c r="N30" t="s">
        <v>35</v>
      </c>
      <c r="O30">
        <v>1</v>
      </c>
    </row>
    <row r="31" spans="1:15" x14ac:dyDescent="0.2">
      <c r="A31" t="s">
        <v>64</v>
      </c>
      <c r="B31" s="1">
        <v>46002.541666666664</v>
      </c>
      <c r="C31" t="s">
        <v>22</v>
      </c>
      <c r="D31" t="s">
        <v>17</v>
      </c>
      <c r="E31" t="s">
        <v>25</v>
      </c>
      <c r="F31">
        <v>5</v>
      </c>
      <c r="G31" t="s">
        <v>14</v>
      </c>
      <c r="H31">
        <v>6.4</v>
      </c>
      <c r="I31">
        <v>6.8</v>
      </c>
      <c r="J31">
        <v>10</v>
      </c>
      <c r="K31" t="s">
        <v>15</v>
      </c>
      <c r="L31">
        <v>0</v>
      </c>
      <c r="M31" t="s">
        <v>31</v>
      </c>
      <c r="N31" t="s">
        <v>32</v>
      </c>
      <c r="O31">
        <v>1</v>
      </c>
    </row>
    <row r="32" spans="1:15" x14ac:dyDescent="0.2">
      <c r="A32" t="s">
        <v>65</v>
      </c>
      <c r="B32" s="1">
        <v>46008.75</v>
      </c>
      <c r="C32" t="s">
        <v>11</v>
      </c>
      <c r="D32" t="s">
        <v>12</v>
      </c>
      <c r="E32" t="s">
        <v>13</v>
      </c>
      <c r="F32">
        <v>3</v>
      </c>
      <c r="G32" t="s">
        <v>26</v>
      </c>
      <c r="H32">
        <v>6.4</v>
      </c>
      <c r="I32">
        <v>9.1999999999999993</v>
      </c>
      <c r="J32">
        <v>11</v>
      </c>
      <c r="K32" t="s">
        <v>15</v>
      </c>
      <c r="L32">
        <v>0</v>
      </c>
      <c r="M32" t="s">
        <v>31</v>
      </c>
      <c r="N32" t="s">
        <v>32</v>
      </c>
      <c r="O32">
        <v>1</v>
      </c>
    </row>
    <row r="33" spans="1:15" x14ac:dyDescent="0.2">
      <c r="A33" t="s">
        <v>66</v>
      </c>
      <c r="B33" s="1">
        <v>46073.958333333336</v>
      </c>
      <c r="C33" t="s">
        <v>20</v>
      </c>
      <c r="D33" t="s">
        <v>16</v>
      </c>
      <c r="E33" t="s">
        <v>25</v>
      </c>
      <c r="F33">
        <v>4</v>
      </c>
      <c r="G33" t="s">
        <v>14</v>
      </c>
      <c r="H33">
        <v>8.8000000000000007</v>
      </c>
      <c r="I33">
        <v>12</v>
      </c>
      <c r="J33">
        <v>9</v>
      </c>
      <c r="K33" t="s">
        <v>15</v>
      </c>
      <c r="L33">
        <v>0</v>
      </c>
      <c r="M33" t="s">
        <v>31</v>
      </c>
      <c r="N33" t="s">
        <v>32</v>
      </c>
      <c r="O33">
        <v>1</v>
      </c>
    </row>
    <row r="34" spans="1:15" x14ac:dyDescent="0.2">
      <c r="A34" t="s">
        <v>67</v>
      </c>
      <c r="B34" s="1">
        <v>45997.708333333336</v>
      </c>
      <c r="C34" t="s">
        <v>22</v>
      </c>
      <c r="D34" t="s">
        <v>12</v>
      </c>
      <c r="E34" t="s">
        <v>23</v>
      </c>
      <c r="F34">
        <v>5</v>
      </c>
      <c r="G34" t="s">
        <v>14</v>
      </c>
      <c r="H34">
        <v>3.2</v>
      </c>
      <c r="I34">
        <v>15.7</v>
      </c>
      <c r="J34">
        <v>9</v>
      </c>
      <c r="K34" t="s">
        <v>19</v>
      </c>
      <c r="L34">
        <v>1</v>
      </c>
      <c r="M34" t="s">
        <v>31</v>
      </c>
      <c r="N34" t="s">
        <v>35</v>
      </c>
      <c r="O34">
        <v>1</v>
      </c>
    </row>
    <row r="35" spans="1:15" x14ac:dyDescent="0.2">
      <c r="A35" t="s">
        <v>68</v>
      </c>
      <c r="B35" s="1">
        <v>46044.916666666664</v>
      </c>
      <c r="C35" t="s">
        <v>11</v>
      </c>
      <c r="D35" t="s">
        <v>12</v>
      </c>
      <c r="E35" t="s">
        <v>18</v>
      </c>
      <c r="F35">
        <v>2</v>
      </c>
      <c r="G35" t="s">
        <v>24</v>
      </c>
      <c r="H35">
        <v>6</v>
      </c>
      <c r="I35">
        <v>14.6</v>
      </c>
      <c r="J35">
        <v>10</v>
      </c>
      <c r="K35" t="s">
        <v>15</v>
      </c>
      <c r="L35">
        <v>0</v>
      </c>
      <c r="M35" t="s">
        <v>31</v>
      </c>
      <c r="N35" t="s">
        <v>32</v>
      </c>
      <c r="O35">
        <v>1</v>
      </c>
    </row>
    <row r="36" spans="1:15" x14ac:dyDescent="0.2">
      <c r="A36" t="s">
        <v>69</v>
      </c>
      <c r="B36" s="1">
        <v>46052.875</v>
      </c>
      <c r="C36" t="s">
        <v>11</v>
      </c>
      <c r="D36" t="s">
        <v>12</v>
      </c>
      <c r="E36" t="s">
        <v>25</v>
      </c>
      <c r="F36">
        <v>4</v>
      </c>
      <c r="G36" t="s">
        <v>14</v>
      </c>
      <c r="H36">
        <v>9.9</v>
      </c>
      <c r="I36">
        <v>22.8</v>
      </c>
      <c r="J36">
        <v>12</v>
      </c>
      <c r="K36" t="s">
        <v>15</v>
      </c>
      <c r="L36">
        <v>0</v>
      </c>
      <c r="M36" t="s">
        <v>31</v>
      </c>
      <c r="N36" t="s">
        <v>32</v>
      </c>
      <c r="O36">
        <v>1</v>
      </c>
    </row>
    <row r="37" spans="1:15" x14ac:dyDescent="0.2">
      <c r="A37" t="s">
        <v>70</v>
      </c>
      <c r="B37" s="1">
        <v>46033.666666666664</v>
      </c>
      <c r="C37" t="s">
        <v>11</v>
      </c>
      <c r="D37" t="s">
        <v>16</v>
      </c>
      <c r="E37" t="s">
        <v>23</v>
      </c>
      <c r="F37">
        <v>4</v>
      </c>
      <c r="G37" t="s">
        <v>14</v>
      </c>
      <c r="H37">
        <v>2.7</v>
      </c>
      <c r="I37">
        <v>1</v>
      </c>
      <c r="J37">
        <v>12</v>
      </c>
      <c r="K37" t="s">
        <v>19</v>
      </c>
      <c r="L37">
        <v>1</v>
      </c>
      <c r="M37" t="s">
        <v>31</v>
      </c>
      <c r="N37" t="s">
        <v>35</v>
      </c>
      <c r="O37">
        <v>1</v>
      </c>
    </row>
    <row r="38" spans="1:15" x14ac:dyDescent="0.2">
      <c r="A38" t="s">
        <v>71</v>
      </c>
      <c r="B38" s="1">
        <v>46023.166666666664</v>
      </c>
      <c r="C38" t="s">
        <v>11</v>
      </c>
      <c r="D38" t="s">
        <v>12</v>
      </c>
      <c r="E38" t="s">
        <v>13</v>
      </c>
      <c r="F38">
        <v>4</v>
      </c>
      <c r="G38" t="s">
        <v>14</v>
      </c>
      <c r="H38">
        <v>0.4</v>
      </c>
      <c r="I38">
        <v>1</v>
      </c>
      <c r="J38">
        <v>9</v>
      </c>
      <c r="K38" t="s">
        <v>19</v>
      </c>
      <c r="L38">
        <v>1</v>
      </c>
      <c r="M38" t="s">
        <v>31</v>
      </c>
      <c r="N38" t="s">
        <v>41</v>
      </c>
      <c r="O38">
        <v>1</v>
      </c>
    </row>
    <row r="39" spans="1:15" x14ac:dyDescent="0.2">
      <c r="A39" t="s">
        <v>72</v>
      </c>
      <c r="B39" s="1">
        <v>46035.791666666664</v>
      </c>
      <c r="C39" t="s">
        <v>20</v>
      </c>
      <c r="D39" t="s">
        <v>16</v>
      </c>
      <c r="E39" t="s">
        <v>13</v>
      </c>
      <c r="F39">
        <v>5</v>
      </c>
      <c r="G39" t="s">
        <v>14</v>
      </c>
      <c r="H39">
        <v>0.1</v>
      </c>
      <c r="I39">
        <v>8.5</v>
      </c>
      <c r="J39">
        <v>9</v>
      </c>
      <c r="K39" t="s">
        <v>19</v>
      </c>
      <c r="L39">
        <v>1</v>
      </c>
      <c r="M39" t="s">
        <v>31</v>
      </c>
      <c r="N39" t="s">
        <v>41</v>
      </c>
      <c r="O39">
        <v>1</v>
      </c>
    </row>
    <row r="40" spans="1:15" x14ac:dyDescent="0.2">
      <c r="A40" t="s">
        <v>73</v>
      </c>
      <c r="B40" s="1">
        <v>46034.541666666664</v>
      </c>
      <c r="C40" t="s">
        <v>11</v>
      </c>
      <c r="D40" t="s">
        <v>12</v>
      </c>
      <c r="E40" t="s">
        <v>13</v>
      </c>
      <c r="F40">
        <v>2</v>
      </c>
      <c r="G40" t="s">
        <v>24</v>
      </c>
      <c r="H40">
        <v>6</v>
      </c>
      <c r="I40">
        <v>21.3</v>
      </c>
      <c r="J40">
        <v>12</v>
      </c>
      <c r="K40" t="s">
        <v>15</v>
      </c>
      <c r="L40">
        <v>0</v>
      </c>
      <c r="M40" t="s">
        <v>31</v>
      </c>
      <c r="N40" t="s">
        <v>32</v>
      </c>
      <c r="O40">
        <v>1</v>
      </c>
    </row>
    <row r="41" spans="1:15" x14ac:dyDescent="0.2">
      <c r="A41" t="s">
        <v>74</v>
      </c>
      <c r="B41" s="1">
        <v>46055.125</v>
      </c>
      <c r="C41" t="s">
        <v>11</v>
      </c>
      <c r="D41" t="s">
        <v>12</v>
      </c>
      <c r="E41" t="s">
        <v>13</v>
      </c>
      <c r="F41">
        <v>4</v>
      </c>
      <c r="G41" t="s">
        <v>14</v>
      </c>
      <c r="H41">
        <v>0.1</v>
      </c>
      <c r="I41">
        <v>1</v>
      </c>
      <c r="J41">
        <v>9</v>
      </c>
      <c r="K41" t="s">
        <v>19</v>
      </c>
      <c r="L41">
        <v>1</v>
      </c>
      <c r="M41" t="s">
        <v>31</v>
      </c>
      <c r="N41" t="s">
        <v>41</v>
      </c>
      <c r="O41">
        <v>1</v>
      </c>
    </row>
    <row r="42" spans="1:15" x14ac:dyDescent="0.2">
      <c r="A42" t="s">
        <v>75</v>
      </c>
      <c r="B42" s="1">
        <v>46047.083333333336</v>
      </c>
      <c r="C42" t="s">
        <v>20</v>
      </c>
      <c r="D42" t="s">
        <v>16</v>
      </c>
      <c r="E42" t="s">
        <v>21</v>
      </c>
      <c r="F42">
        <v>3</v>
      </c>
      <c r="G42" t="s">
        <v>26</v>
      </c>
      <c r="H42">
        <v>3.3</v>
      </c>
      <c r="I42">
        <v>1</v>
      </c>
      <c r="J42">
        <v>10</v>
      </c>
      <c r="K42" t="s">
        <v>19</v>
      </c>
      <c r="L42">
        <v>1</v>
      </c>
      <c r="M42" t="s">
        <v>31</v>
      </c>
      <c r="N42" t="s">
        <v>35</v>
      </c>
      <c r="O42">
        <v>1</v>
      </c>
    </row>
    <row r="43" spans="1:15" x14ac:dyDescent="0.2">
      <c r="A43" t="s">
        <v>76</v>
      </c>
      <c r="B43" s="1">
        <v>45994.166666666664</v>
      </c>
      <c r="C43" t="s">
        <v>11</v>
      </c>
      <c r="D43" t="s">
        <v>17</v>
      </c>
      <c r="E43" t="s">
        <v>25</v>
      </c>
      <c r="F43">
        <v>5</v>
      </c>
      <c r="G43" t="s">
        <v>14</v>
      </c>
      <c r="H43">
        <v>5.3</v>
      </c>
      <c r="I43">
        <v>17.100000000000001</v>
      </c>
      <c r="J43">
        <v>10</v>
      </c>
      <c r="K43" t="s">
        <v>15</v>
      </c>
      <c r="L43">
        <v>0</v>
      </c>
      <c r="M43" t="s">
        <v>31</v>
      </c>
      <c r="N43" t="s">
        <v>32</v>
      </c>
      <c r="O43">
        <v>1</v>
      </c>
    </row>
    <row r="44" spans="1:15" x14ac:dyDescent="0.2">
      <c r="A44" t="s">
        <v>77</v>
      </c>
      <c r="B44" s="1">
        <v>46072.208333333336</v>
      </c>
      <c r="C44" t="s">
        <v>22</v>
      </c>
      <c r="D44" t="s">
        <v>12</v>
      </c>
      <c r="E44" t="s">
        <v>23</v>
      </c>
      <c r="F44">
        <v>2</v>
      </c>
      <c r="G44" t="s">
        <v>24</v>
      </c>
      <c r="H44">
        <v>4.7</v>
      </c>
      <c r="I44">
        <v>14.4</v>
      </c>
      <c r="J44">
        <v>11</v>
      </c>
      <c r="K44" t="s">
        <v>15</v>
      </c>
      <c r="L44">
        <v>0</v>
      </c>
      <c r="M44" t="s">
        <v>31</v>
      </c>
      <c r="N44" t="s">
        <v>32</v>
      </c>
      <c r="O44">
        <v>1</v>
      </c>
    </row>
    <row r="45" spans="1:15" x14ac:dyDescent="0.2">
      <c r="A45" t="s">
        <v>78</v>
      </c>
      <c r="B45" s="1">
        <v>46000.791666666664</v>
      </c>
      <c r="C45" t="s">
        <v>11</v>
      </c>
      <c r="D45" t="s">
        <v>16</v>
      </c>
      <c r="E45" t="s">
        <v>13</v>
      </c>
      <c r="F45">
        <v>4</v>
      </c>
      <c r="G45" t="s">
        <v>14</v>
      </c>
      <c r="H45">
        <v>5.3</v>
      </c>
      <c r="I45">
        <v>3.8</v>
      </c>
      <c r="J45">
        <v>12</v>
      </c>
      <c r="K45" t="s">
        <v>15</v>
      </c>
      <c r="L45">
        <v>0</v>
      </c>
      <c r="M45" t="s">
        <v>31</v>
      </c>
      <c r="N45" t="s">
        <v>32</v>
      </c>
      <c r="O45">
        <v>1</v>
      </c>
    </row>
    <row r="46" spans="1:15" x14ac:dyDescent="0.2">
      <c r="A46" t="s">
        <v>79</v>
      </c>
      <c r="B46" s="1">
        <v>46013.041666666664</v>
      </c>
      <c r="C46" t="s">
        <v>11</v>
      </c>
      <c r="D46" t="s">
        <v>17</v>
      </c>
      <c r="E46" t="s">
        <v>21</v>
      </c>
      <c r="F46">
        <v>5</v>
      </c>
      <c r="G46" t="s">
        <v>14</v>
      </c>
      <c r="H46">
        <v>4.8</v>
      </c>
      <c r="I46">
        <v>4.5999999999999996</v>
      </c>
      <c r="J46">
        <v>9</v>
      </c>
      <c r="K46" t="s">
        <v>15</v>
      </c>
      <c r="L46">
        <v>0</v>
      </c>
      <c r="M46" t="s">
        <v>31</v>
      </c>
      <c r="N46" t="s">
        <v>32</v>
      </c>
      <c r="O46">
        <v>1</v>
      </c>
    </row>
    <row r="47" spans="1:15" x14ac:dyDescent="0.2">
      <c r="A47" t="s">
        <v>80</v>
      </c>
      <c r="B47" s="1">
        <v>46050.791666666664</v>
      </c>
      <c r="C47" t="s">
        <v>11</v>
      </c>
      <c r="D47" t="s">
        <v>16</v>
      </c>
      <c r="E47" t="s">
        <v>25</v>
      </c>
      <c r="F47">
        <v>5</v>
      </c>
      <c r="G47" t="s">
        <v>14</v>
      </c>
      <c r="H47">
        <v>7.4</v>
      </c>
      <c r="I47">
        <v>4.7</v>
      </c>
      <c r="J47">
        <v>11</v>
      </c>
      <c r="K47" t="s">
        <v>15</v>
      </c>
      <c r="L47">
        <v>0</v>
      </c>
      <c r="M47" t="s">
        <v>31</v>
      </c>
      <c r="N47" t="s">
        <v>32</v>
      </c>
      <c r="O47">
        <v>1</v>
      </c>
    </row>
    <row r="48" spans="1:15" x14ac:dyDescent="0.2">
      <c r="A48" t="s">
        <v>81</v>
      </c>
      <c r="B48" s="1">
        <v>46022.5</v>
      </c>
      <c r="C48" t="s">
        <v>11</v>
      </c>
      <c r="D48" t="s">
        <v>12</v>
      </c>
      <c r="E48" t="s">
        <v>13</v>
      </c>
      <c r="F48">
        <v>4</v>
      </c>
      <c r="G48" t="s">
        <v>14</v>
      </c>
      <c r="H48">
        <v>1.8</v>
      </c>
      <c r="I48">
        <v>13.4</v>
      </c>
      <c r="J48">
        <v>10</v>
      </c>
      <c r="K48" t="s">
        <v>19</v>
      </c>
      <c r="L48">
        <v>1</v>
      </c>
      <c r="M48" t="s">
        <v>31</v>
      </c>
      <c r="N48" t="s">
        <v>35</v>
      </c>
      <c r="O48">
        <v>1</v>
      </c>
    </row>
    <row r="49" spans="1:15" x14ac:dyDescent="0.2">
      <c r="A49" t="s">
        <v>82</v>
      </c>
      <c r="B49" s="1">
        <v>46047.166666666664</v>
      </c>
      <c r="C49" t="s">
        <v>11</v>
      </c>
      <c r="D49" t="s">
        <v>12</v>
      </c>
      <c r="E49" t="s">
        <v>25</v>
      </c>
      <c r="F49">
        <v>4</v>
      </c>
      <c r="G49" t="s">
        <v>14</v>
      </c>
      <c r="H49">
        <v>2.5</v>
      </c>
      <c r="I49">
        <v>7.5</v>
      </c>
      <c r="J49">
        <v>12</v>
      </c>
      <c r="K49" t="s">
        <v>19</v>
      </c>
      <c r="L49">
        <v>1</v>
      </c>
      <c r="M49" t="s">
        <v>31</v>
      </c>
      <c r="N49" t="s">
        <v>35</v>
      </c>
      <c r="O49">
        <v>1</v>
      </c>
    </row>
    <row r="50" spans="1:15" x14ac:dyDescent="0.2">
      <c r="A50" t="s">
        <v>83</v>
      </c>
      <c r="B50" s="1">
        <v>45993.291666666664</v>
      </c>
      <c r="C50" t="s">
        <v>11</v>
      </c>
      <c r="D50" t="s">
        <v>17</v>
      </c>
      <c r="E50" t="s">
        <v>23</v>
      </c>
      <c r="F50">
        <v>4</v>
      </c>
      <c r="G50" t="s">
        <v>14</v>
      </c>
      <c r="H50">
        <v>2.2999999999999998</v>
      </c>
      <c r="I50">
        <v>16.5</v>
      </c>
      <c r="J50">
        <v>10</v>
      </c>
      <c r="K50" t="s">
        <v>19</v>
      </c>
      <c r="L50">
        <v>1</v>
      </c>
      <c r="M50" t="s">
        <v>31</v>
      </c>
      <c r="N50" t="s">
        <v>35</v>
      </c>
      <c r="O50">
        <v>1</v>
      </c>
    </row>
    <row r="51" spans="1:15" x14ac:dyDescent="0.2">
      <c r="A51" t="s">
        <v>84</v>
      </c>
      <c r="B51" s="1">
        <v>46053.125</v>
      </c>
      <c r="C51" t="s">
        <v>20</v>
      </c>
      <c r="D51" t="s">
        <v>12</v>
      </c>
      <c r="E51" t="s">
        <v>13</v>
      </c>
      <c r="F51">
        <v>4</v>
      </c>
      <c r="G51" t="s">
        <v>14</v>
      </c>
      <c r="H51">
        <v>6.3</v>
      </c>
      <c r="I51">
        <v>1</v>
      </c>
      <c r="J51">
        <v>9</v>
      </c>
      <c r="K51" t="s">
        <v>15</v>
      </c>
      <c r="L51">
        <v>0</v>
      </c>
      <c r="M51" t="s">
        <v>31</v>
      </c>
      <c r="N51" t="s">
        <v>32</v>
      </c>
      <c r="O51">
        <v>1</v>
      </c>
    </row>
    <row r="52" spans="1:15" x14ac:dyDescent="0.2">
      <c r="A52" t="s">
        <v>85</v>
      </c>
      <c r="B52" s="1">
        <v>46040.958333333336</v>
      </c>
      <c r="C52" t="s">
        <v>11</v>
      </c>
      <c r="D52" t="s">
        <v>17</v>
      </c>
      <c r="E52" t="s">
        <v>23</v>
      </c>
      <c r="F52">
        <v>3</v>
      </c>
      <c r="G52" t="s">
        <v>26</v>
      </c>
      <c r="H52">
        <v>6.5</v>
      </c>
      <c r="I52">
        <v>5.6</v>
      </c>
      <c r="J52">
        <v>11</v>
      </c>
      <c r="K52" t="s">
        <v>15</v>
      </c>
      <c r="L52">
        <v>0</v>
      </c>
      <c r="M52" t="s">
        <v>31</v>
      </c>
      <c r="N52" t="s">
        <v>32</v>
      </c>
      <c r="O52">
        <v>1</v>
      </c>
    </row>
    <row r="53" spans="1:15" x14ac:dyDescent="0.2">
      <c r="A53" t="s">
        <v>86</v>
      </c>
      <c r="B53" s="1">
        <v>46052.958333333336</v>
      </c>
      <c r="C53" t="s">
        <v>11</v>
      </c>
      <c r="D53" t="s">
        <v>16</v>
      </c>
      <c r="E53" t="s">
        <v>23</v>
      </c>
      <c r="F53">
        <v>4</v>
      </c>
      <c r="G53" t="s">
        <v>14</v>
      </c>
      <c r="H53">
        <v>5.3</v>
      </c>
      <c r="I53">
        <v>3.5</v>
      </c>
      <c r="J53">
        <v>9</v>
      </c>
      <c r="K53" t="s">
        <v>15</v>
      </c>
      <c r="L53">
        <v>0</v>
      </c>
      <c r="M53" t="s">
        <v>31</v>
      </c>
      <c r="N53" t="s">
        <v>32</v>
      </c>
      <c r="O53">
        <v>1</v>
      </c>
    </row>
    <row r="54" spans="1:15" x14ac:dyDescent="0.2">
      <c r="A54" t="s">
        <v>87</v>
      </c>
      <c r="B54" s="1">
        <v>46041.5</v>
      </c>
      <c r="C54" t="s">
        <v>11</v>
      </c>
      <c r="D54" t="s">
        <v>17</v>
      </c>
      <c r="E54" t="s">
        <v>13</v>
      </c>
      <c r="F54">
        <v>4</v>
      </c>
      <c r="G54" t="s">
        <v>14</v>
      </c>
      <c r="H54">
        <v>7.2</v>
      </c>
      <c r="I54">
        <v>10.4</v>
      </c>
      <c r="J54">
        <v>9</v>
      </c>
      <c r="K54" t="s">
        <v>15</v>
      </c>
      <c r="L54">
        <v>0</v>
      </c>
      <c r="M54" t="s">
        <v>31</v>
      </c>
      <c r="N54" t="s">
        <v>32</v>
      </c>
      <c r="O54">
        <v>1</v>
      </c>
    </row>
    <row r="55" spans="1:15" x14ac:dyDescent="0.2">
      <c r="A55" t="s">
        <v>88</v>
      </c>
      <c r="B55" s="1">
        <v>46047.916666666664</v>
      </c>
      <c r="C55" t="s">
        <v>11</v>
      </c>
      <c r="D55" t="s">
        <v>17</v>
      </c>
      <c r="E55" t="s">
        <v>18</v>
      </c>
      <c r="F55">
        <v>4</v>
      </c>
      <c r="G55" t="s">
        <v>14</v>
      </c>
      <c r="H55">
        <v>1.3</v>
      </c>
      <c r="I55">
        <v>8.1999999999999993</v>
      </c>
      <c r="J55">
        <v>12</v>
      </c>
      <c r="K55" t="s">
        <v>19</v>
      </c>
      <c r="L55">
        <v>1</v>
      </c>
      <c r="M55" t="s">
        <v>31</v>
      </c>
      <c r="N55" t="s">
        <v>35</v>
      </c>
      <c r="O55">
        <v>1</v>
      </c>
    </row>
    <row r="56" spans="1:15" x14ac:dyDescent="0.2">
      <c r="A56" t="s">
        <v>89</v>
      </c>
      <c r="B56" s="1">
        <v>46054.25</v>
      </c>
      <c r="C56" t="s">
        <v>11</v>
      </c>
      <c r="D56" t="s">
        <v>17</v>
      </c>
      <c r="E56" t="s">
        <v>21</v>
      </c>
      <c r="F56">
        <v>5</v>
      </c>
      <c r="G56" t="s">
        <v>14</v>
      </c>
      <c r="H56">
        <v>8.4</v>
      </c>
      <c r="I56">
        <v>18.899999999999999</v>
      </c>
      <c r="J56">
        <v>12</v>
      </c>
      <c r="K56" t="s">
        <v>15</v>
      </c>
      <c r="L56">
        <v>0</v>
      </c>
      <c r="M56" t="s">
        <v>31</v>
      </c>
      <c r="N56" t="s">
        <v>32</v>
      </c>
      <c r="O56">
        <v>1</v>
      </c>
    </row>
    <row r="57" spans="1:15" x14ac:dyDescent="0.2">
      <c r="A57" t="s">
        <v>90</v>
      </c>
      <c r="B57" s="1">
        <v>46041.75</v>
      </c>
      <c r="C57" t="s">
        <v>11</v>
      </c>
      <c r="D57" t="s">
        <v>12</v>
      </c>
      <c r="E57" t="s">
        <v>25</v>
      </c>
      <c r="F57">
        <v>5</v>
      </c>
      <c r="G57" t="s">
        <v>14</v>
      </c>
      <c r="H57">
        <v>8</v>
      </c>
      <c r="I57">
        <v>1</v>
      </c>
      <c r="J57">
        <v>9</v>
      </c>
      <c r="K57" t="s">
        <v>15</v>
      </c>
      <c r="L57">
        <v>0</v>
      </c>
      <c r="M57" t="s">
        <v>31</v>
      </c>
      <c r="N57" t="s">
        <v>32</v>
      </c>
      <c r="O57">
        <v>1</v>
      </c>
    </row>
    <row r="58" spans="1:15" x14ac:dyDescent="0.2">
      <c r="A58" t="s">
        <v>91</v>
      </c>
      <c r="B58" s="1">
        <v>45998.375</v>
      </c>
      <c r="C58" t="s">
        <v>20</v>
      </c>
      <c r="D58" t="s">
        <v>17</v>
      </c>
      <c r="E58" t="s">
        <v>23</v>
      </c>
      <c r="F58">
        <v>5</v>
      </c>
      <c r="G58" t="s">
        <v>14</v>
      </c>
      <c r="H58">
        <v>6</v>
      </c>
      <c r="I58">
        <v>12.9</v>
      </c>
      <c r="J58">
        <v>12</v>
      </c>
      <c r="K58" t="s">
        <v>15</v>
      </c>
      <c r="L58">
        <v>0</v>
      </c>
      <c r="M58" t="s">
        <v>31</v>
      </c>
      <c r="N58" t="s">
        <v>32</v>
      </c>
      <c r="O58">
        <v>1</v>
      </c>
    </row>
    <row r="59" spans="1:15" x14ac:dyDescent="0.2">
      <c r="A59" t="s">
        <v>92</v>
      </c>
      <c r="B59" s="1">
        <v>46031.166666666664</v>
      </c>
      <c r="C59" t="s">
        <v>20</v>
      </c>
      <c r="D59" t="s">
        <v>12</v>
      </c>
      <c r="E59" t="s">
        <v>23</v>
      </c>
      <c r="F59">
        <v>2</v>
      </c>
      <c r="G59" t="s">
        <v>24</v>
      </c>
      <c r="H59">
        <v>8.6999999999999993</v>
      </c>
      <c r="I59">
        <v>17</v>
      </c>
      <c r="J59">
        <v>11</v>
      </c>
      <c r="K59" t="s">
        <v>15</v>
      </c>
      <c r="L59">
        <v>0</v>
      </c>
      <c r="M59" t="s">
        <v>31</v>
      </c>
      <c r="N59" t="s">
        <v>32</v>
      </c>
      <c r="O59">
        <v>1</v>
      </c>
    </row>
    <row r="60" spans="1:15" x14ac:dyDescent="0.2">
      <c r="A60" t="s">
        <v>93</v>
      </c>
      <c r="B60" s="1">
        <v>46023.833333333336</v>
      </c>
      <c r="C60" t="s">
        <v>22</v>
      </c>
      <c r="D60" t="s">
        <v>16</v>
      </c>
      <c r="E60" t="s">
        <v>25</v>
      </c>
      <c r="F60">
        <v>2</v>
      </c>
      <c r="G60" t="s">
        <v>24</v>
      </c>
      <c r="H60">
        <v>0.1</v>
      </c>
      <c r="I60">
        <v>27.4</v>
      </c>
      <c r="J60">
        <v>11</v>
      </c>
      <c r="K60" t="s">
        <v>19</v>
      </c>
      <c r="L60">
        <v>1</v>
      </c>
      <c r="M60" t="s">
        <v>55</v>
      </c>
      <c r="N60" t="s">
        <v>41</v>
      </c>
      <c r="O60">
        <v>1</v>
      </c>
    </row>
    <row r="61" spans="1:15" x14ac:dyDescent="0.2">
      <c r="A61" t="s">
        <v>94</v>
      </c>
      <c r="B61" s="1">
        <v>46048.833333333336</v>
      </c>
      <c r="C61" t="s">
        <v>11</v>
      </c>
      <c r="D61" t="s">
        <v>16</v>
      </c>
      <c r="E61" t="s">
        <v>23</v>
      </c>
      <c r="F61">
        <v>5</v>
      </c>
      <c r="G61" t="s">
        <v>14</v>
      </c>
      <c r="H61">
        <v>2.9</v>
      </c>
      <c r="I61">
        <v>8.6</v>
      </c>
      <c r="J61">
        <v>9</v>
      </c>
      <c r="K61" t="s">
        <v>19</v>
      </c>
      <c r="L61">
        <v>1</v>
      </c>
      <c r="M61" t="s">
        <v>31</v>
      </c>
      <c r="N61" t="s">
        <v>35</v>
      </c>
      <c r="O61">
        <v>1</v>
      </c>
    </row>
    <row r="62" spans="1:15" x14ac:dyDescent="0.2">
      <c r="A62" t="s">
        <v>95</v>
      </c>
      <c r="B62" s="1">
        <v>46050.041666666664</v>
      </c>
      <c r="C62" t="s">
        <v>11</v>
      </c>
      <c r="D62" t="s">
        <v>17</v>
      </c>
      <c r="E62" t="s">
        <v>13</v>
      </c>
      <c r="F62">
        <v>4</v>
      </c>
      <c r="G62" t="s">
        <v>14</v>
      </c>
      <c r="H62">
        <v>2.4</v>
      </c>
      <c r="I62">
        <v>15.1</v>
      </c>
      <c r="J62">
        <v>11</v>
      </c>
      <c r="K62" t="s">
        <v>19</v>
      </c>
      <c r="L62">
        <v>1</v>
      </c>
      <c r="M62" t="s">
        <v>31</v>
      </c>
      <c r="N62" t="s">
        <v>35</v>
      </c>
      <c r="O62">
        <v>1</v>
      </c>
    </row>
    <row r="63" spans="1:15" x14ac:dyDescent="0.2">
      <c r="A63" t="s">
        <v>96</v>
      </c>
      <c r="B63" s="1">
        <v>46010.291666666664</v>
      </c>
      <c r="C63" t="s">
        <v>11</v>
      </c>
      <c r="D63" t="s">
        <v>17</v>
      </c>
      <c r="E63" t="s">
        <v>23</v>
      </c>
      <c r="F63">
        <v>2</v>
      </c>
      <c r="G63" t="s">
        <v>24</v>
      </c>
      <c r="H63">
        <v>6</v>
      </c>
      <c r="I63">
        <v>1</v>
      </c>
      <c r="J63">
        <v>9</v>
      </c>
      <c r="K63" t="s">
        <v>15</v>
      </c>
      <c r="L63">
        <v>0</v>
      </c>
      <c r="M63" t="s">
        <v>31</v>
      </c>
      <c r="N63" t="s">
        <v>32</v>
      </c>
      <c r="O63">
        <v>1</v>
      </c>
    </row>
    <row r="64" spans="1:15" x14ac:dyDescent="0.2">
      <c r="A64" t="s">
        <v>97</v>
      </c>
      <c r="B64" s="1">
        <v>46048.041666666664</v>
      </c>
      <c r="C64" t="s">
        <v>11</v>
      </c>
      <c r="D64" t="s">
        <v>17</v>
      </c>
      <c r="E64" t="s">
        <v>21</v>
      </c>
      <c r="F64">
        <v>5</v>
      </c>
      <c r="G64" t="s">
        <v>14</v>
      </c>
      <c r="H64">
        <v>1.6</v>
      </c>
      <c r="I64">
        <v>1</v>
      </c>
      <c r="J64">
        <v>11</v>
      </c>
      <c r="K64" t="s">
        <v>19</v>
      </c>
      <c r="L64">
        <v>1</v>
      </c>
      <c r="M64" t="s">
        <v>31</v>
      </c>
      <c r="N64" t="s">
        <v>35</v>
      </c>
      <c r="O64">
        <v>1</v>
      </c>
    </row>
    <row r="65" spans="1:15" x14ac:dyDescent="0.2">
      <c r="A65" t="s">
        <v>98</v>
      </c>
      <c r="B65" s="1">
        <v>46007.458333333336</v>
      </c>
      <c r="C65" t="s">
        <v>11</v>
      </c>
      <c r="D65" t="s">
        <v>16</v>
      </c>
      <c r="E65" t="s">
        <v>23</v>
      </c>
      <c r="F65">
        <v>5</v>
      </c>
      <c r="G65" t="s">
        <v>14</v>
      </c>
      <c r="H65">
        <v>6.1</v>
      </c>
      <c r="I65">
        <v>19.3</v>
      </c>
      <c r="J65">
        <v>10</v>
      </c>
      <c r="K65" t="s">
        <v>15</v>
      </c>
      <c r="L65">
        <v>0</v>
      </c>
      <c r="M65" t="s">
        <v>31</v>
      </c>
      <c r="N65" t="s">
        <v>32</v>
      </c>
      <c r="O65">
        <v>1</v>
      </c>
    </row>
    <row r="66" spans="1:15" x14ac:dyDescent="0.2">
      <c r="A66" t="s">
        <v>99</v>
      </c>
      <c r="B66" s="1">
        <v>46007.5</v>
      </c>
      <c r="C66" t="s">
        <v>11</v>
      </c>
      <c r="D66" t="s">
        <v>16</v>
      </c>
      <c r="E66" t="s">
        <v>13</v>
      </c>
      <c r="F66">
        <v>5</v>
      </c>
      <c r="G66" t="s">
        <v>14</v>
      </c>
      <c r="H66">
        <v>7.6</v>
      </c>
      <c r="I66">
        <v>12.5</v>
      </c>
      <c r="J66">
        <v>9</v>
      </c>
      <c r="K66" t="s">
        <v>15</v>
      </c>
      <c r="L66">
        <v>0</v>
      </c>
      <c r="M66" t="s">
        <v>31</v>
      </c>
      <c r="N66" t="s">
        <v>32</v>
      </c>
      <c r="O66">
        <v>1</v>
      </c>
    </row>
    <row r="67" spans="1:15" x14ac:dyDescent="0.2">
      <c r="A67" t="s">
        <v>100</v>
      </c>
      <c r="B67" s="1">
        <v>46035.708333333336</v>
      </c>
      <c r="C67" t="s">
        <v>11</v>
      </c>
      <c r="D67" t="s">
        <v>16</v>
      </c>
      <c r="E67" t="s">
        <v>21</v>
      </c>
      <c r="F67">
        <v>4</v>
      </c>
      <c r="G67" t="s">
        <v>14</v>
      </c>
      <c r="H67">
        <v>5.9</v>
      </c>
      <c r="I67">
        <v>21.9</v>
      </c>
      <c r="J67">
        <v>11</v>
      </c>
      <c r="K67" t="s">
        <v>15</v>
      </c>
      <c r="L67">
        <v>0</v>
      </c>
      <c r="M67" t="s">
        <v>31</v>
      </c>
      <c r="N67" t="s">
        <v>32</v>
      </c>
      <c r="O67">
        <v>1</v>
      </c>
    </row>
    <row r="68" spans="1:15" x14ac:dyDescent="0.2">
      <c r="A68" t="s">
        <v>101</v>
      </c>
      <c r="B68" s="1">
        <v>46064.333333333336</v>
      </c>
      <c r="C68" t="s">
        <v>20</v>
      </c>
      <c r="D68" t="s">
        <v>12</v>
      </c>
      <c r="E68" t="s">
        <v>13</v>
      </c>
      <c r="F68">
        <v>1</v>
      </c>
      <c r="G68" t="s">
        <v>24</v>
      </c>
      <c r="H68">
        <v>4.9000000000000004</v>
      </c>
      <c r="I68">
        <v>1.5</v>
      </c>
      <c r="J68">
        <v>10</v>
      </c>
      <c r="K68" t="s">
        <v>15</v>
      </c>
      <c r="L68">
        <v>0</v>
      </c>
      <c r="M68" t="s">
        <v>31</v>
      </c>
      <c r="N68" t="s">
        <v>32</v>
      </c>
      <c r="O68">
        <v>1</v>
      </c>
    </row>
    <row r="69" spans="1:15" x14ac:dyDescent="0.2">
      <c r="A69" t="s">
        <v>102</v>
      </c>
      <c r="B69" s="1">
        <v>46018.916666666664</v>
      </c>
      <c r="C69" t="s">
        <v>11</v>
      </c>
      <c r="D69" t="s">
        <v>12</v>
      </c>
      <c r="E69" t="s">
        <v>13</v>
      </c>
      <c r="F69">
        <v>5</v>
      </c>
      <c r="G69" t="s">
        <v>14</v>
      </c>
      <c r="H69">
        <v>1.7</v>
      </c>
      <c r="I69">
        <v>16.7</v>
      </c>
      <c r="J69">
        <v>9</v>
      </c>
      <c r="K69" t="s">
        <v>19</v>
      </c>
      <c r="L69">
        <v>1</v>
      </c>
      <c r="M69" t="s">
        <v>31</v>
      </c>
      <c r="N69" t="s">
        <v>35</v>
      </c>
      <c r="O69">
        <v>1</v>
      </c>
    </row>
    <row r="70" spans="1:15" x14ac:dyDescent="0.2">
      <c r="A70" t="s">
        <v>103</v>
      </c>
      <c r="B70" s="1">
        <v>46075.875</v>
      </c>
      <c r="C70" t="s">
        <v>22</v>
      </c>
      <c r="D70" t="s">
        <v>12</v>
      </c>
      <c r="E70" t="s">
        <v>13</v>
      </c>
      <c r="F70">
        <v>4</v>
      </c>
      <c r="G70" t="s">
        <v>14</v>
      </c>
      <c r="H70">
        <v>2.1</v>
      </c>
      <c r="I70">
        <v>27.5</v>
      </c>
      <c r="J70">
        <v>11</v>
      </c>
      <c r="K70" t="s">
        <v>19</v>
      </c>
      <c r="L70">
        <v>1</v>
      </c>
      <c r="M70" t="s">
        <v>55</v>
      </c>
      <c r="N70" t="s">
        <v>35</v>
      </c>
      <c r="O70">
        <v>1</v>
      </c>
    </row>
    <row r="71" spans="1:15" x14ac:dyDescent="0.2">
      <c r="A71" t="s">
        <v>104</v>
      </c>
      <c r="B71" s="1">
        <v>46062.166666666664</v>
      </c>
      <c r="C71" t="s">
        <v>11</v>
      </c>
      <c r="D71" t="s">
        <v>12</v>
      </c>
      <c r="E71" t="s">
        <v>23</v>
      </c>
      <c r="F71">
        <v>5</v>
      </c>
      <c r="G71" t="s">
        <v>14</v>
      </c>
      <c r="H71">
        <v>7.3</v>
      </c>
      <c r="I71">
        <v>15.9</v>
      </c>
      <c r="J71">
        <v>11</v>
      </c>
      <c r="K71" t="s">
        <v>15</v>
      </c>
      <c r="L71">
        <v>0</v>
      </c>
      <c r="M71" t="s">
        <v>31</v>
      </c>
      <c r="N71" t="s">
        <v>32</v>
      </c>
      <c r="O71">
        <v>1</v>
      </c>
    </row>
    <row r="72" spans="1:15" x14ac:dyDescent="0.2">
      <c r="A72" t="s">
        <v>105</v>
      </c>
      <c r="B72" s="1">
        <v>46061.125</v>
      </c>
      <c r="C72" t="s">
        <v>11</v>
      </c>
      <c r="D72" t="s">
        <v>12</v>
      </c>
      <c r="E72" t="s">
        <v>21</v>
      </c>
      <c r="F72">
        <v>5</v>
      </c>
      <c r="G72" t="s">
        <v>14</v>
      </c>
      <c r="H72">
        <v>6.1</v>
      </c>
      <c r="I72">
        <v>14.7</v>
      </c>
      <c r="J72">
        <v>10</v>
      </c>
      <c r="K72" t="s">
        <v>15</v>
      </c>
      <c r="L72">
        <v>0</v>
      </c>
      <c r="M72" t="s">
        <v>31</v>
      </c>
      <c r="N72" t="s">
        <v>32</v>
      </c>
      <c r="O72">
        <v>1</v>
      </c>
    </row>
    <row r="73" spans="1:15" x14ac:dyDescent="0.2">
      <c r="A73" t="s">
        <v>106</v>
      </c>
      <c r="B73" s="1">
        <v>46027.208333333336</v>
      </c>
      <c r="C73" t="s">
        <v>20</v>
      </c>
      <c r="D73" t="s">
        <v>12</v>
      </c>
      <c r="E73" t="s">
        <v>23</v>
      </c>
      <c r="F73">
        <v>5</v>
      </c>
      <c r="G73" t="s">
        <v>14</v>
      </c>
      <c r="H73">
        <v>4.0999999999999996</v>
      </c>
      <c r="I73">
        <v>12.6</v>
      </c>
      <c r="J73">
        <v>12</v>
      </c>
      <c r="K73" t="s">
        <v>15</v>
      </c>
      <c r="L73">
        <v>0</v>
      </c>
      <c r="M73" t="s">
        <v>31</v>
      </c>
      <c r="N73" t="s">
        <v>32</v>
      </c>
      <c r="O73">
        <v>1</v>
      </c>
    </row>
    <row r="74" spans="1:15" x14ac:dyDescent="0.2">
      <c r="A74" t="s">
        <v>107</v>
      </c>
      <c r="B74" s="1">
        <v>46073.5</v>
      </c>
      <c r="C74" t="s">
        <v>22</v>
      </c>
      <c r="D74" t="s">
        <v>12</v>
      </c>
      <c r="E74" t="s">
        <v>13</v>
      </c>
      <c r="F74">
        <v>4</v>
      </c>
      <c r="G74" t="s">
        <v>14</v>
      </c>
      <c r="H74">
        <v>3.2</v>
      </c>
      <c r="I74">
        <v>1</v>
      </c>
      <c r="J74">
        <v>12</v>
      </c>
      <c r="K74" t="s">
        <v>19</v>
      </c>
      <c r="L74">
        <v>1</v>
      </c>
      <c r="M74" t="s">
        <v>31</v>
      </c>
      <c r="N74" t="s">
        <v>35</v>
      </c>
      <c r="O74">
        <v>1</v>
      </c>
    </row>
    <row r="75" spans="1:15" x14ac:dyDescent="0.2">
      <c r="A75" t="s">
        <v>108</v>
      </c>
      <c r="B75" s="1">
        <v>46033.208333333336</v>
      </c>
      <c r="C75" t="s">
        <v>11</v>
      </c>
      <c r="D75" t="s">
        <v>12</v>
      </c>
      <c r="E75" t="s">
        <v>21</v>
      </c>
      <c r="F75">
        <v>4</v>
      </c>
      <c r="G75" t="s">
        <v>14</v>
      </c>
      <c r="H75">
        <v>0.1</v>
      </c>
      <c r="I75">
        <v>23.3</v>
      </c>
      <c r="J75">
        <v>10</v>
      </c>
      <c r="K75" t="s">
        <v>19</v>
      </c>
      <c r="L75">
        <v>1</v>
      </c>
      <c r="M75" t="s">
        <v>31</v>
      </c>
      <c r="N75" t="s">
        <v>41</v>
      </c>
      <c r="O75">
        <v>1</v>
      </c>
    </row>
    <row r="76" spans="1:15" x14ac:dyDescent="0.2">
      <c r="A76" t="s">
        <v>109</v>
      </c>
      <c r="B76" s="1">
        <v>46022.333333333336</v>
      </c>
      <c r="C76" t="s">
        <v>11</v>
      </c>
      <c r="D76" t="s">
        <v>17</v>
      </c>
      <c r="E76" t="s">
        <v>21</v>
      </c>
      <c r="F76">
        <v>5</v>
      </c>
      <c r="G76" t="s">
        <v>14</v>
      </c>
      <c r="H76">
        <v>1.5</v>
      </c>
      <c r="I76">
        <v>7.6</v>
      </c>
      <c r="J76">
        <v>10</v>
      </c>
      <c r="K76" t="s">
        <v>19</v>
      </c>
      <c r="L76">
        <v>1</v>
      </c>
      <c r="M76" t="s">
        <v>31</v>
      </c>
      <c r="N76" t="s">
        <v>35</v>
      </c>
      <c r="O76">
        <v>1</v>
      </c>
    </row>
    <row r="77" spans="1:15" x14ac:dyDescent="0.2">
      <c r="A77" t="s">
        <v>110</v>
      </c>
      <c r="B77" s="1">
        <v>46049.291666666664</v>
      </c>
      <c r="C77" t="s">
        <v>11</v>
      </c>
      <c r="D77" t="s">
        <v>16</v>
      </c>
      <c r="E77" t="s">
        <v>21</v>
      </c>
      <c r="F77">
        <v>5</v>
      </c>
      <c r="G77" t="s">
        <v>14</v>
      </c>
      <c r="H77">
        <v>9</v>
      </c>
      <c r="I77">
        <v>16.5</v>
      </c>
      <c r="J77">
        <v>9</v>
      </c>
      <c r="K77" t="s">
        <v>15</v>
      </c>
      <c r="L77">
        <v>0</v>
      </c>
      <c r="M77" t="s">
        <v>31</v>
      </c>
      <c r="N77" t="s">
        <v>32</v>
      </c>
      <c r="O77">
        <v>1</v>
      </c>
    </row>
    <row r="78" spans="1:15" x14ac:dyDescent="0.2">
      <c r="A78" t="s">
        <v>111</v>
      </c>
      <c r="B78" s="1">
        <v>46080.125</v>
      </c>
      <c r="C78" t="s">
        <v>11</v>
      </c>
      <c r="D78" t="s">
        <v>12</v>
      </c>
      <c r="E78" t="s">
        <v>13</v>
      </c>
      <c r="F78">
        <v>5</v>
      </c>
      <c r="G78" t="s">
        <v>14</v>
      </c>
      <c r="H78">
        <v>1</v>
      </c>
      <c r="I78">
        <v>1</v>
      </c>
      <c r="J78">
        <v>12</v>
      </c>
      <c r="K78" t="s">
        <v>19</v>
      </c>
      <c r="L78">
        <v>1</v>
      </c>
      <c r="M78" t="s">
        <v>31</v>
      </c>
      <c r="N78" t="s">
        <v>41</v>
      </c>
      <c r="O78">
        <v>1</v>
      </c>
    </row>
    <row r="79" spans="1:15" x14ac:dyDescent="0.2">
      <c r="A79" t="s">
        <v>112</v>
      </c>
      <c r="B79" s="1">
        <v>46067.125</v>
      </c>
      <c r="C79" t="s">
        <v>22</v>
      </c>
      <c r="D79" t="s">
        <v>16</v>
      </c>
      <c r="E79" t="s">
        <v>23</v>
      </c>
      <c r="F79">
        <v>2</v>
      </c>
      <c r="G79" t="s">
        <v>24</v>
      </c>
      <c r="H79">
        <v>4.7</v>
      </c>
      <c r="I79">
        <v>3.1</v>
      </c>
      <c r="J79">
        <v>9</v>
      </c>
      <c r="K79" t="s">
        <v>15</v>
      </c>
      <c r="L79">
        <v>0</v>
      </c>
      <c r="M79" t="s">
        <v>31</v>
      </c>
      <c r="N79" t="s">
        <v>32</v>
      </c>
      <c r="O79">
        <v>1</v>
      </c>
    </row>
    <row r="80" spans="1:15" x14ac:dyDescent="0.2">
      <c r="A80" t="s">
        <v>113</v>
      </c>
      <c r="B80" s="1">
        <v>46013.666666666664</v>
      </c>
      <c r="C80" t="s">
        <v>11</v>
      </c>
      <c r="D80" t="s">
        <v>12</v>
      </c>
      <c r="E80" t="s">
        <v>18</v>
      </c>
      <c r="F80">
        <v>3</v>
      </c>
      <c r="G80" t="s">
        <v>26</v>
      </c>
      <c r="H80">
        <v>6.7</v>
      </c>
      <c r="I80">
        <v>24</v>
      </c>
      <c r="J80">
        <v>11</v>
      </c>
      <c r="K80" t="s">
        <v>15</v>
      </c>
      <c r="L80">
        <v>0</v>
      </c>
      <c r="M80" t="s">
        <v>31</v>
      </c>
      <c r="N80" t="s">
        <v>32</v>
      </c>
      <c r="O80">
        <v>1</v>
      </c>
    </row>
    <row r="81" spans="1:15" x14ac:dyDescent="0.2">
      <c r="A81" t="s">
        <v>114</v>
      </c>
      <c r="B81" s="1">
        <v>45999.583333333336</v>
      </c>
      <c r="C81" t="s">
        <v>20</v>
      </c>
      <c r="D81" t="s">
        <v>17</v>
      </c>
      <c r="E81" t="s">
        <v>21</v>
      </c>
      <c r="F81">
        <v>5</v>
      </c>
      <c r="G81" t="s">
        <v>14</v>
      </c>
      <c r="H81">
        <v>1.1000000000000001</v>
      </c>
      <c r="I81">
        <v>9.6999999999999993</v>
      </c>
      <c r="J81">
        <v>10</v>
      </c>
      <c r="K81" t="s">
        <v>19</v>
      </c>
      <c r="L81">
        <v>1</v>
      </c>
      <c r="M81" t="s">
        <v>31</v>
      </c>
      <c r="N81" t="s">
        <v>35</v>
      </c>
      <c r="O81">
        <v>1</v>
      </c>
    </row>
    <row r="82" spans="1:15" x14ac:dyDescent="0.2">
      <c r="A82" t="s">
        <v>115</v>
      </c>
      <c r="B82" s="1">
        <v>46067.625</v>
      </c>
      <c r="C82" t="s">
        <v>11</v>
      </c>
      <c r="D82" t="s">
        <v>17</v>
      </c>
      <c r="E82" t="s">
        <v>13</v>
      </c>
      <c r="F82">
        <v>5</v>
      </c>
      <c r="G82" t="s">
        <v>14</v>
      </c>
      <c r="H82">
        <v>4.7</v>
      </c>
      <c r="I82">
        <v>24.1</v>
      </c>
      <c r="J82">
        <v>9</v>
      </c>
      <c r="K82" t="s">
        <v>15</v>
      </c>
      <c r="L82">
        <v>0</v>
      </c>
      <c r="M82" t="s">
        <v>55</v>
      </c>
      <c r="N82" t="s">
        <v>32</v>
      </c>
      <c r="O82">
        <v>1</v>
      </c>
    </row>
    <row r="83" spans="1:15" x14ac:dyDescent="0.2">
      <c r="A83" t="s">
        <v>116</v>
      </c>
      <c r="B83" s="1">
        <v>46026.791666666664</v>
      </c>
      <c r="C83" t="s">
        <v>11</v>
      </c>
      <c r="D83" t="s">
        <v>12</v>
      </c>
      <c r="E83" t="s">
        <v>13</v>
      </c>
      <c r="F83">
        <v>5</v>
      </c>
      <c r="G83" t="s">
        <v>14</v>
      </c>
      <c r="H83">
        <v>6.5</v>
      </c>
      <c r="I83">
        <v>11.9</v>
      </c>
      <c r="J83">
        <v>10</v>
      </c>
      <c r="K83" t="s">
        <v>15</v>
      </c>
      <c r="L83">
        <v>0</v>
      </c>
      <c r="M83" t="s">
        <v>31</v>
      </c>
      <c r="N83" t="s">
        <v>32</v>
      </c>
      <c r="O83">
        <v>1</v>
      </c>
    </row>
    <row r="84" spans="1:15" x14ac:dyDescent="0.2">
      <c r="A84" t="s">
        <v>117</v>
      </c>
      <c r="B84" s="1">
        <v>46024</v>
      </c>
      <c r="C84" t="s">
        <v>11</v>
      </c>
      <c r="D84" t="s">
        <v>16</v>
      </c>
      <c r="E84" t="s">
        <v>23</v>
      </c>
      <c r="F84">
        <v>3</v>
      </c>
      <c r="G84" t="s">
        <v>26</v>
      </c>
      <c r="H84">
        <v>4.2</v>
      </c>
      <c r="I84">
        <v>1</v>
      </c>
      <c r="J84">
        <v>9</v>
      </c>
      <c r="K84" t="s">
        <v>15</v>
      </c>
      <c r="L84">
        <v>0</v>
      </c>
      <c r="M84" t="s">
        <v>31</v>
      </c>
      <c r="N84" t="s">
        <v>32</v>
      </c>
      <c r="O84">
        <v>1</v>
      </c>
    </row>
    <row r="85" spans="1:15" x14ac:dyDescent="0.2">
      <c r="A85" t="s">
        <v>118</v>
      </c>
      <c r="B85" s="1">
        <v>46048.333333333336</v>
      </c>
      <c r="C85" t="s">
        <v>22</v>
      </c>
      <c r="D85" t="s">
        <v>17</v>
      </c>
      <c r="E85" t="s">
        <v>18</v>
      </c>
      <c r="F85">
        <v>5</v>
      </c>
      <c r="G85" t="s">
        <v>14</v>
      </c>
      <c r="H85">
        <v>11.4</v>
      </c>
      <c r="I85">
        <v>19.600000000000001</v>
      </c>
      <c r="J85">
        <v>11</v>
      </c>
      <c r="K85" t="s">
        <v>15</v>
      </c>
      <c r="L85">
        <v>0</v>
      </c>
      <c r="M85" t="s">
        <v>31</v>
      </c>
      <c r="N85" t="s">
        <v>32</v>
      </c>
      <c r="O85">
        <v>1</v>
      </c>
    </row>
    <row r="86" spans="1:15" x14ac:dyDescent="0.2">
      <c r="A86" t="s">
        <v>119</v>
      </c>
      <c r="B86" s="1">
        <v>46059.333333333336</v>
      </c>
      <c r="C86" t="s">
        <v>11</v>
      </c>
      <c r="D86" t="s">
        <v>17</v>
      </c>
      <c r="E86" t="s">
        <v>23</v>
      </c>
      <c r="F86">
        <v>5</v>
      </c>
      <c r="G86" t="s">
        <v>14</v>
      </c>
      <c r="H86">
        <v>0.1</v>
      </c>
      <c r="I86">
        <v>7.8</v>
      </c>
      <c r="J86">
        <v>11</v>
      </c>
      <c r="K86" t="s">
        <v>19</v>
      </c>
      <c r="L86">
        <v>1</v>
      </c>
      <c r="M86" t="s">
        <v>31</v>
      </c>
      <c r="N86" t="s">
        <v>41</v>
      </c>
      <c r="O86">
        <v>1</v>
      </c>
    </row>
    <row r="87" spans="1:15" x14ac:dyDescent="0.2">
      <c r="A87" t="s">
        <v>120</v>
      </c>
      <c r="B87" s="1">
        <v>46068.166666666664</v>
      </c>
      <c r="C87" t="s">
        <v>11</v>
      </c>
      <c r="D87" t="s">
        <v>16</v>
      </c>
      <c r="E87" t="s">
        <v>23</v>
      </c>
      <c r="F87">
        <v>5</v>
      </c>
      <c r="G87" t="s">
        <v>14</v>
      </c>
      <c r="H87">
        <v>6.8</v>
      </c>
      <c r="I87">
        <v>18.100000000000001</v>
      </c>
      <c r="J87">
        <v>12</v>
      </c>
      <c r="K87" t="s">
        <v>15</v>
      </c>
      <c r="L87">
        <v>0</v>
      </c>
      <c r="M87" t="s">
        <v>31</v>
      </c>
      <c r="N87" t="s">
        <v>32</v>
      </c>
      <c r="O87">
        <v>1</v>
      </c>
    </row>
    <row r="88" spans="1:15" x14ac:dyDescent="0.2">
      <c r="A88" t="s">
        <v>121</v>
      </c>
      <c r="B88" s="1">
        <v>46043.166666666664</v>
      </c>
      <c r="C88" t="s">
        <v>11</v>
      </c>
      <c r="D88" t="s">
        <v>16</v>
      </c>
      <c r="E88" t="s">
        <v>13</v>
      </c>
      <c r="F88">
        <v>4</v>
      </c>
      <c r="G88" t="s">
        <v>14</v>
      </c>
      <c r="H88">
        <v>3.8</v>
      </c>
      <c r="I88">
        <v>12.7</v>
      </c>
      <c r="J88">
        <v>12</v>
      </c>
      <c r="K88" t="s">
        <v>19</v>
      </c>
      <c r="L88">
        <v>1</v>
      </c>
      <c r="M88" t="s">
        <v>31</v>
      </c>
      <c r="N88" t="s">
        <v>35</v>
      </c>
      <c r="O88">
        <v>1</v>
      </c>
    </row>
    <row r="89" spans="1:15" x14ac:dyDescent="0.2">
      <c r="A89" t="s">
        <v>122</v>
      </c>
      <c r="B89" s="1">
        <v>46017.208333333336</v>
      </c>
      <c r="C89" t="s">
        <v>11</v>
      </c>
      <c r="D89" t="s">
        <v>12</v>
      </c>
      <c r="E89" t="s">
        <v>25</v>
      </c>
      <c r="F89">
        <v>1</v>
      </c>
      <c r="G89" t="s">
        <v>24</v>
      </c>
      <c r="H89">
        <v>6.1</v>
      </c>
      <c r="I89">
        <v>1</v>
      </c>
      <c r="J89">
        <v>11</v>
      </c>
      <c r="K89" t="s">
        <v>15</v>
      </c>
      <c r="L89">
        <v>0</v>
      </c>
      <c r="M89" t="s">
        <v>31</v>
      </c>
      <c r="N89" t="s">
        <v>32</v>
      </c>
      <c r="O89">
        <v>1</v>
      </c>
    </row>
    <row r="90" spans="1:15" x14ac:dyDescent="0.2">
      <c r="A90" t="s">
        <v>123</v>
      </c>
      <c r="B90" s="1">
        <v>46056.833333333336</v>
      </c>
      <c r="C90" t="s">
        <v>11</v>
      </c>
      <c r="D90" t="s">
        <v>17</v>
      </c>
      <c r="E90" t="s">
        <v>21</v>
      </c>
      <c r="F90">
        <v>5</v>
      </c>
      <c r="G90" t="s">
        <v>14</v>
      </c>
      <c r="H90">
        <v>5.3</v>
      </c>
      <c r="I90">
        <v>13.8</v>
      </c>
      <c r="J90">
        <v>9</v>
      </c>
      <c r="K90" t="s">
        <v>15</v>
      </c>
      <c r="L90">
        <v>0</v>
      </c>
      <c r="M90" t="s">
        <v>31</v>
      </c>
      <c r="N90" t="s">
        <v>32</v>
      </c>
      <c r="O90">
        <v>1</v>
      </c>
    </row>
    <row r="91" spans="1:15" x14ac:dyDescent="0.2">
      <c r="A91" t="s">
        <v>124</v>
      </c>
      <c r="B91" s="1">
        <v>46034.791666666664</v>
      </c>
      <c r="C91" t="s">
        <v>11</v>
      </c>
      <c r="D91" t="s">
        <v>12</v>
      </c>
      <c r="E91" t="s">
        <v>23</v>
      </c>
      <c r="F91">
        <v>4</v>
      </c>
      <c r="G91" t="s">
        <v>14</v>
      </c>
      <c r="H91">
        <v>2.4</v>
      </c>
      <c r="I91">
        <v>30.1</v>
      </c>
      <c r="J91">
        <v>10</v>
      </c>
      <c r="K91" t="s">
        <v>19</v>
      </c>
      <c r="L91">
        <v>1</v>
      </c>
      <c r="M91" t="s">
        <v>55</v>
      </c>
      <c r="N91" t="s">
        <v>35</v>
      </c>
      <c r="O91">
        <v>1</v>
      </c>
    </row>
    <row r="92" spans="1:15" x14ac:dyDescent="0.2">
      <c r="A92" t="s">
        <v>125</v>
      </c>
      <c r="B92" s="1">
        <v>46012.333333333336</v>
      </c>
      <c r="C92" t="s">
        <v>20</v>
      </c>
      <c r="D92" t="s">
        <v>17</v>
      </c>
      <c r="E92" t="s">
        <v>21</v>
      </c>
      <c r="F92">
        <v>4</v>
      </c>
      <c r="G92" t="s">
        <v>14</v>
      </c>
      <c r="H92">
        <v>4.8</v>
      </c>
      <c r="I92">
        <v>16.399999999999999</v>
      </c>
      <c r="J92">
        <v>11</v>
      </c>
      <c r="K92" t="s">
        <v>15</v>
      </c>
      <c r="L92">
        <v>0</v>
      </c>
      <c r="M92" t="s">
        <v>31</v>
      </c>
      <c r="N92" t="s">
        <v>32</v>
      </c>
      <c r="O92">
        <v>1</v>
      </c>
    </row>
    <row r="93" spans="1:15" x14ac:dyDescent="0.2">
      <c r="A93" t="s">
        <v>126</v>
      </c>
      <c r="B93" s="1">
        <v>46081.208333333336</v>
      </c>
      <c r="C93" t="s">
        <v>11</v>
      </c>
      <c r="D93" t="s">
        <v>16</v>
      </c>
      <c r="E93" t="s">
        <v>18</v>
      </c>
      <c r="F93">
        <v>5</v>
      </c>
      <c r="G93" t="s">
        <v>14</v>
      </c>
      <c r="H93">
        <v>0.1</v>
      </c>
      <c r="I93">
        <v>12</v>
      </c>
      <c r="J93">
        <v>11</v>
      </c>
      <c r="K93" t="s">
        <v>19</v>
      </c>
      <c r="L93">
        <v>1</v>
      </c>
      <c r="M93" t="s">
        <v>31</v>
      </c>
      <c r="N93" t="s">
        <v>41</v>
      </c>
      <c r="O93">
        <v>1</v>
      </c>
    </row>
    <row r="94" spans="1:15" x14ac:dyDescent="0.2">
      <c r="A94" t="s">
        <v>127</v>
      </c>
      <c r="B94" s="1">
        <v>46040.375</v>
      </c>
      <c r="C94" t="s">
        <v>11</v>
      </c>
      <c r="D94" t="s">
        <v>16</v>
      </c>
      <c r="E94" t="s">
        <v>13</v>
      </c>
      <c r="F94">
        <v>4</v>
      </c>
      <c r="G94" t="s">
        <v>14</v>
      </c>
      <c r="H94">
        <v>5.7</v>
      </c>
      <c r="I94">
        <v>21.1</v>
      </c>
      <c r="J94">
        <v>9</v>
      </c>
      <c r="K94" t="s">
        <v>15</v>
      </c>
      <c r="L94">
        <v>0</v>
      </c>
      <c r="M94" t="s">
        <v>31</v>
      </c>
      <c r="N94" t="s">
        <v>32</v>
      </c>
      <c r="O94">
        <v>1</v>
      </c>
    </row>
    <row r="95" spans="1:15" x14ac:dyDescent="0.2">
      <c r="A95" t="s">
        <v>128</v>
      </c>
      <c r="B95" s="1">
        <v>46079.875</v>
      </c>
      <c r="C95" t="s">
        <v>11</v>
      </c>
      <c r="D95" t="s">
        <v>16</v>
      </c>
      <c r="E95" t="s">
        <v>23</v>
      </c>
      <c r="F95">
        <v>5</v>
      </c>
      <c r="G95" t="s">
        <v>14</v>
      </c>
      <c r="H95">
        <v>4.9000000000000004</v>
      </c>
      <c r="I95">
        <v>14.2</v>
      </c>
      <c r="J95">
        <v>11</v>
      </c>
      <c r="K95" t="s">
        <v>15</v>
      </c>
      <c r="L95">
        <v>0</v>
      </c>
      <c r="M95" t="s">
        <v>31</v>
      </c>
      <c r="N95" t="s">
        <v>32</v>
      </c>
      <c r="O95">
        <v>1</v>
      </c>
    </row>
    <row r="96" spans="1:15" x14ac:dyDescent="0.2">
      <c r="A96" t="s">
        <v>129</v>
      </c>
      <c r="B96" s="1">
        <v>46035.625</v>
      </c>
      <c r="C96" t="s">
        <v>11</v>
      </c>
      <c r="D96" t="s">
        <v>12</v>
      </c>
      <c r="E96" t="s">
        <v>13</v>
      </c>
      <c r="F96">
        <v>3</v>
      </c>
      <c r="G96" t="s">
        <v>26</v>
      </c>
      <c r="H96">
        <v>5.8</v>
      </c>
      <c r="I96">
        <v>14.2</v>
      </c>
      <c r="J96">
        <v>11</v>
      </c>
      <c r="K96" t="s">
        <v>15</v>
      </c>
      <c r="L96">
        <v>0</v>
      </c>
      <c r="M96" t="s">
        <v>31</v>
      </c>
      <c r="N96" t="s">
        <v>32</v>
      </c>
      <c r="O96">
        <v>1</v>
      </c>
    </row>
    <row r="97" spans="1:15" x14ac:dyDescent="0.2">
      <c r="A97" t="s">
        <v>130</v>
      </c>
      <c r="B97" s="1">
        <v>46051.958333333336</v>
      </c>
      <c r="C97" t="s">
        <v>11</v>
      </c>
      <c r="D97" t="s">
        <v>12</v>
      </c>
      <c r="E97" t="s">
        <v>21</v>
      </c>
      <c r="F97">
        <v>5</v>
      </c>
      <c r="G97" t="s">
        <v>14</v>
      </c>
      <c r="H97">
        <v>6.8</v>
      </c>
      <c r="I97">
        <v>3.8</v>
      </c>
      <c r="J97">
        <v>9</v>
      </c>
      <c r="K97" t="s">
        <v>15</v>
      </c>
      <c r="L97">
        <v>0</v>
      </c>
      <c r="M97" t="s">
        <v>31</v>
      </c>
      <c r="N97" t="s">
        <v>32</v>
      </c>
      <c r="O97">
        <v>1</v>
      </c>
    </row>
    <row r="98" spans="1:15" x14ac:dyDescent="0.2">
      <c r="A98" t="s">
        <v>131</v>
      </c>
      <c r="B98" s="1">
        <v>46051.25</v>
      </c>
      <c r="C98" t="s">
        <v>11</v>
      </c>
      <c r="D98" t="s">
        <v>12</v>
      </c>
      <c r="E98" t="s">
        <v>25</v>
      </c>
      <c r="F98">
        <v>5</v>
      </c>
      <c r="G98" t="s">
        <v>14</v>
      </c>
      <c r="H98">
        <v>5.0999999999999996</v>
      </c>
      <c r="I98">
        <v>14.4</v>
      </c>
      <c r="J98">
        <v>11</v>
      </c>
      <c r="K98" t="s">
        <v>15</v>
      </c>
      <c r="L98">
        <v>0</v>
      </c>
      <c r="M98" t="s">
        <v>31</v>
      </c>
      <c r="N98" t="s">
        <v>32</v>
      </c>
      <c r="O98">
        <v>1</v>
      </c>
    </row>
    <row r="99" spans="1:15" x14ac:dyDescent="0.2">
      <c r="A99" t="s">
        <v>132</v>
      </c>
      <c r="B99" s="1">
        <v>46071.916666666664</v>
      </c>
      <c r="C99" t="s">
        <v>11</v>
      </c>
      <c r="D99" t="s">
        <v>12</v>
      </c>
      <c r="E99" t="s">
        <v>25</v>
      </c>
      <c r="F99">
        <v>2</v>
      </c>
      <c r="G99" t="s">
        <v>24</v>
      </c>
      <c r="H99">
        <v>4.5999999999999996</v>
      </c>
      <c r="I99">
        <v>20.8</v>
      </c>
      <c r="J99">
        <v>12</v>
      </c>
      <c r="K99" t="s">
        <v>15</v>
      </c>
      <c r="L99">
        <v>0</v>
      </c>
      <c r="M99" t="s">
        <v>31</v>
      </c>
      <c r="N99" t="s">
        <v>32</v>
      </c>
      <c r="O99">
        <v>1</v>
      </c>
    </row>
    <row r="100" spans="1:15" x14ac:dyDescent="0.2">
      <c r="A100" t="s">
        <v>133</v>
      </c>
      <c r="B100" s="1">
        <v>46019.916666666664</v>
      </c>
      <c r="C100" t="s">
        <v>22</v>
      </c>
      <c r="D100" t="s">
        <v>17</v>
      </c>
      <c r="E100" t="s">
        <v>21</v>
      </c>
      <c r="F100">
        <v>1</v>
      </c>
      <c r="G100" t="s">
        <v>24</v>
      </c>
      <c r="H100">
        <v>2</v>
      </c>
      <c r="I100">
        <v>5.8</v>
      </c>
      <c r="J100">
        <v>12</v>
      </c>
      <c r="K100" t="s">
        <v>19</v>
      </c>
      <c r="L100">
        <v>1</v>
      </c>
      <c r="M100" t="s">
        <v>31</v>
      </c>
      <c r="N100" t="s">
        <v>35</v>
      </c>
      <c r="O100">
        <v>1</v>
      </c>
    </row>
    <row r="101" spans="1:15" x14ac:dyDescent="0.2">
      <c r="A101" t="s">
        <v>134</v>
      </c>
      <c r="B101" s="1">
        <v>46013.833333333336</v>
      </c>
      <c r="C101" t="s">
        <v>20</v>
      </c>
      <c r="D101" t="s">
        <v>12</v>
      </c>
      <c r="E101" t="s">
        <v>23</v>
      </c>
      <c r="F101">
        <v>4</v>
      </c>
      <c r="G101" t="s">
        <v>14</v>
      </c>
      <c r="H101">
        <v>2.4</v>
      </c>
      <c r="I101">
        <v>23.9</v>
      </c>
      <c r="J101">
        <v>12</v>
      </c>
      <c r="K101" t="s">
        <v>19</v>
      </c>
      <c r="L101">
        <v>1</v>
      </c>
      <c r="M101" t="s">
        <v>31</v>
      </c>
      <c r="N101" t="s">
        <v>35</v>
      </c>
      <c r="O101">
        <v>1</v>
      </c>
    </row>
    <row r="102" spans="1:15" x14ac:dyDescent="0.2">
      <c r="A102" t="s">
        <v>135</v>
      </c>
      <c r="B102" s="1">
        <v>46065.125</v>
      </c>
      <c r="C102" t="s">
        <v>22</v>
      </c>
      <c r="D102" t="s">
        <v>12</v>
      </c>
      <c r="E102" t="s">
        <v>18</v>
      </c>
      <c r="F102">
        <v>2</v>
      </c>
      <c r="G102" t="s">
        <v>24</v>
      </c>
      <c r="H102">
        <v>7.2</v>
      </c>
      <c r="I102">
        <v>11.8</v>
      </c>
      <c r="J102">
        <v>12</v>
      </c>
      <c r="K102" t="s">
        <v>15</v>
      </c>
      <c r="L102">
        <v>0</v>
      </c>
      <c r="M102" t="s">
        <v>31</v>
      </c>
      <c r="N102" t="s">
        <v>32</v>
      </c>
      <c r="O102">
        <v>1</v>
      </c>
    </row>
    <row r="103" spans="1:15" x14ac:dyDescent="0.2">
      <c r="A103" t="s">
        <v>136</v>
      </c>
      <c r="B103" s="1">
        <v>46021.291666666664</v>
      </c>
      <c r="C103" t="s">
        <v>11</v>
      </c>
      <c r="D103" t="s">
        <v>17</v>
      </c>
      <c r="E103" t="s">
        <v>23</v>
      </c>
      <c r="F103">
        <v>5</v>
      </c>
      <c r="G103" t="s">
        <v>14</v>
      </c>
      <c r="H103">
        <v>7.8</v>
      </c>
      <c r="I103">
        <v>5.4</v>
      </c>
      <c r="J103">
        <v>11</v>
      </c>
      <c r="K103" t="s">
        <v>15</v>
      </c>
      <c r="L103">
        <v>0</v>
      </c>
      <c r="M103" t="s">
        <v>31</v>
      </c>
      <c r="N103" t="s">
        <v>32</v>
      </c>
      <c r="O103">
        <v>1</v>
      </c>
    </row>
    <row r="104" spans="1:15" x14ac:dyDescent="0.2">
      <c r="A104" t="s">
        <v>137</v>
      </c>
      <c r="B104" s="1">
        <v>46060.666666666664</v>
      </c>
      <c r="C104" t="s">
        <v>11</v>
      </c>
      <c r="D104" t="s">
        <v>17</v>
      </c>
      <c r="E104" t="s">
        <v>13</v>
      </c>
      <c r="F104">
        <v>5</v>
      </c>
      <c r="G104" t="s">
        <v>14</v>
      </c>
      <c r="H104">
        <v>3.6</v>
      </c>
      <c r="I104">
        <v>20.5</v>
      </c>
      <c r="J104">
        <v>10</v>
      </c>
      <c r="K104" t="s">
        <v>19</v>
      </c>
      <c r="L104">
        <v>1</v>
      </c>
      <c r="M104" t="s">
        <v>31</v>
      </c>
      <c r="N104" t="s">
        <v>35</v>
      </c>
      <c r="O104">
        <v>1</v>
      </c>
    </row>
    <row r="105" spans="1:15" x14ac:dyDescent="0.2">
      <c r="A105" t="s">
        <v>138</v>
      </c>
      <c r="B105" s="1">
        <v>46014.208333333336</v>
      </c>
      <c r="C105" t="s">
        <v>11</v>
      </c>
      <c r="D105" t="s">
        <v>17</v>
      </c>
      <c r="E105" t="s">
        <v>25</v>
      </c>
      <c r="F105">
        <v>4</v>
      </c>
      <c r="G105" t="s">
        <v>14</v>
      </c>
      <c r="H105">
        <v>4.3</v>
      </c>
      <c r="I105">
        <v>10.199999999999999</v>
      </c>
      <c r="J105">
        <v>12</v>
      </c>
      <c r="K105" t="s">
        <v>15</v>
      </c>
      <c r="L105">
        <v>0</v>
      </c>
      <c r="M105" t="s">
        <v>31</v>
      </c>
      <c r="N105" t="s">
        <v>32</v>
      </c>
      <c r="O105">
        <v>1</v>
      </c>
    </row>
    <row r="106" spans="1:15" x14ac:dyDescent="0.2">
      <c r="A106" t="s">
        <v>139</v>
      </c>
      <c r="B106" s="1">
        <v>46027.75</v>
      </c>
      <c r="C106" t="s">
        <v>11</v>
      </c>
      <c r="D106" t="s">
        <v>17</v>
      </c>
      <c r="E106" t="s">
        <v>21</v>
      </c>
      <c r="F106">
        <v>4</v>
      </c>
      <c r="G106" t="s">
        <v>14</v>
      </c>
      <c r="H106">
        <v>1.9</v>
      </c>
      <c r="I106">
        <v>18.600000000000001</v>
      </c>
      <c r="J106">
        <v>12</v>
      </c>
      <c r="K106" t="s">
        <v>19</v>
      </c>
      <c r="L106">
        <v>1</v>
      </c>
      <c r="M106" t="s">
        <v>31</v>
      </c>
      <c r="N106" t="s">
        <v>35</v>
      </c>
      <c r="O106">
        <v>1</v>
      </c>
    </row>
    <row r="107" spans="1:15" x14ac:dyDescent="0.2">
      <c r="A107" t="s">
        <v>140</v>
      </c>
      <c r="B107" s="1">
        <v>46012.041666666664</v>
      </c>
      <c r="C107" t="s">
        <v>11</v>
      </c>
      <c r="D107" t="s">
        <v>12</v>
      </c>
      <c r="E107" t="s">
        <v>23</v>
      </c>
      <c r="F107">
        <v>4</v>
      </c>
      <c r="G107" t="s">
        <v>14</v>
      </c>
      <c r="H107">
        <v>7.1</v>
      </c>
      <c r="I107">
        <v>10.199999999999999</v>
      </c>
      <c r="J107">
        <v>11</v>
      </c>
      <c r="K107" t="s">
        <v>15</v>
      </c>
      <c r="L107">
        <v>0</v>
      </c>
      <c r="M107" t="s">
        <v>31</v>
      </c>
      <c r="N107" t="s">
        <v>32</v>
      </c>
      <c r="O107">
        <v>1</v>
      </c>
    </row>
    <row r="108" spans="1:15" x14ac:dyDescent="0.2">
      <c r="A108" t="s">
        <v>141</v>
      </c>
      <c r="B108" s="1">
        <v>45993.75</v>
      </c>
      <c r="C108" t="s">
        <v>11</v>
      </c>
      <c r="D108" t="s">
        <v>12</v>
      </c>
      <c r="E108" t="s">
        <v>21</v>
      </c>
      <c r="F108">
        <v>5</v>
      </c>
      <c r="G108" t="s">
        <v>14</v>
      </c>
      <c r="H108">
        <v>5.9</v>
      </c>
      <c r="I108">
        <v>12</v>
      </c>
      <c r="J108">
        <v>11</v>
      </c>
      <c r="K108" t="s">
        <v>15</v>
      </c>
      <c r="L108">
        <v>0</v>
      </c>
      <c r="M108" t="s">
        <v>31</v>
      </c>
      <c r="N108" t="s">
        <v>32</v>
      </c>
      <c r="O108">
        <v>1</v>
      </c>
    </row>
    <row r="109" spans="1:15" x14ac:dyDescent="0.2">
      <c r="A109" t="s">
        <v>142</v>
      </c>
      <c r="B109" s="1">
        <v>46042.5</v>
      </c>
      <c r="C109" t="s">
        <v>11</v>
      </c>
      <c r="D109" t="s">
        <v>17</v>
      </c>
      <c r="E109" t="s">
        <v>18</v>
      </c>
      <c r="F109">
        <v>1</v>
      </c>
      <c r="G109" t="s">
        <v>24</v>
      </c>
      <c r="H109">
        <v>9.1</v>
      </c>
      <c r="I109">
        <v>16.399999999999999</v>
      </c>
      <c r="J109">
        <v>9</v>
      </c>
      <c r="K109" t="s">
        <v>15</v>
      </c>
      <c r="L109">
        <v>0</v>
      </c>
      <c r="M109" t="s">
        <v>31</v>
      </c>
      <c r="N109" t="s">
        <v>32</v>
      </c>
      <c r="O109">
        <v>1</v>
      </c>
    </row>
    <row r="110" spans="1:15" x14ac:dyDescent="0.2">
      <c r="A110" t="s">
        <v>143</v>
      </c>
      <c r="B110" s="1">
        <v>45996.166666666664</v>
      </c>
      <c r="C110" t="s">
        <v>11</v>
      </c>
      <c r="D110" t="s">
        <v>16</v>
      </c>
      <c r="E110" t="s">
        <v>13</v>
      </c>
      <c r="F110">
        <v>5</v>
      </c>
      <c r="G110" t="s">
        <v>14</v>
      </c>
      <c r="H110">
        <v>2</v>
      </c>
      <c r="I110">
        <v>14.8</v>
      </c>
      <c r="J110">
        <v>12</v>
      </c>
      <c r="K110" t="s">
        <v>19</v>
      </c>
      <c r="L110">
        <v>1</v>
      </c>
      <c r="M110" t="s">
        <v>31</v>
      </c>
      <c r="N110" t="s">
        <v>35</v>
      </c>
      <c r="O110">
        <v>1</v>
      </c>
    </row>
    <row r="111" spans="1:15" x14ac:dyDescent="0.2">
      <c r="A111" t="s">
        <v>144</v>
      </c>
      <c r="B111" s="1">
        <v>46034.416666666664</v>
      </c>
      <c r="C111" t="s">
        <v>22</v>
      </c>
      <c r="D111" t="s">
        <v>12</v>
      </c>
      <c r="E111" t="s">
        <v>18</v>
      </c>
      <c r="F111">
        <v>5</v>
      </c>
      <c r="G111" t="s">
        <v>14</v>
      </c>
      <c r="H111">
        <v>3.3</v>
      </c>
      <c r="I111">
        <v>1</v>
      </c>
      <c r="J111">
        <v>9</v>
      </c>
      <c r="K111" t="s">
        <v>19</v>
      </c>
      <c r="L111">
        <v>1</v>
      </c>
      <c r="M111" t="s">
        <v>31</v>
      </c>
      <c r="N111" t="s">
        <v>35</v>
      </c>
      <c r="O111">
        <v>1</v>
      </c>
    </row>
    <row r="112" spans="1:15" x14ac:dyDescent="0.2">
      <c r="A112" t="s">
        <v>145</v>
      </c>
      <c r="B112" s="1">
        <v>46015.416666666664</v>
      </c>
      <c r="C112" t="s">
        <v>11</v>
      </c>
      <c r="D112" t="s">
        <v>17</v>
      </c>
      <c r="E112" t="s">
        <v>13</v>
      </c>
      <c r="F112">
        <v>5</v>
      </c>
      <c r="G112" t="s">
        <v>14</v>
      </c>
      <c r="H112">
        <v>4.8</v>
      </c>
      <c r="I112">
        <v>3.5</v>
      </c>
      <c r="J112">
        <v>12</v>
      </c>
      <c r="K112" t="s">
        <v>15</v>
      </c>
      <c r="L112">
        <v>0</v>
      </c>
      <c r="M112" t="s">
        <v>31</v>
      </c>
      <c r="N112" t="s">
        <v>32</v>
      </c>
      <c r="O112">
        <v>1</v>
      </c>
    </row>
    <row r="113" spans="1:15" x14ac:dyDescent="0.2">
      <c r="A113" t="s">
        <v>146</v>
      </c>
      <c r="B113" s="1">
        <v>46066.708333333336</v>
      </c>
      <c r="C113" t="s">
        <v>20</v>
      </c>
      <c r="D113" t="s">
        <v>12</v>
      </c>
      <c r="E113" t="s">
        <v>13</v>
      </c>
      <c r="F113">
        <v>3</v>
      </c>
      <c r="G113" t="s">
        <v>26</v>
      </c>
      <c r="H113">
        <v>5.8</v>
      </c>
      <c r="I113">
        <v>19.899999999999999</v>
      </c>
      <c r="J113">
        <v>10</v>
      </c>
      <c r="K113" t="s">
        <v>15</v>
      </c>
      <c r="L113">
        <v>0</v>
      </c>
      <c r="M113" t="s">
        <v>31</v>
      </c>
      <c r="N113" t="s">
        <v>32</v>
      </c>
      <c r="O113">
        <v>1</v>
      </c>
    </row>
    <row r="114" spans="1:15" x14ac:dyDescent="0.2">
      <c r="A114" t="s">
        <v>147</v>
      </c>
      <c r="B114" s="1">
        <v>46053.916666666664</v>
      </c>
      <c r="C114" t="s">
        <v>11</v>
      </c>
      <c r="D114" t="s">
        <v>12</v>
      </c>
      <c r="E114" t="s">
        <v>13</v>
      </c>
      <c r="F114">
        <v>5</v>
      </c>
      <c r="G114" t="s">
        <v>14</v>
      </c>
      <c r="H114">
        <v>3.7</v>
      </c>
      <c r="I114">
        <v>11.4</v>
      </c>
      <c r="J114">
        <v>11</v>
      </c>
      <c r="K114" t="s">
        <v>19</v>
      </c>
      <c r="L114">
        <v>1</v>
      </c>
      <c r="M114" t="s">
        <v>31</v>
      </c>
      <c r="N114" t="s">
        <v>35</v>
      </c>
      <c r="O114">
        <v>1</v>
      </c>
    </row>
    <row r="115" spans="1:15" x14ac:dyDescent="0.2">
      <c r="A115" t="s">
        <v>148</v>
      </c>
      <c r="B115" s="1">
        <v>46039</v>
      </c>
      <c r="C115" t="s">
        <v>11</v>
      </c>
      <c r="D115" t="s">
        <v>16</v>
      </c>
      <c r="E115" t="s">
        <v>21</v>
      </c>
      <c r="F115">
        <v>2</v>
      </c>
      <c r="G115" t="s">
        <v>24</v>
      </c>
      <c r="H115">
        <v>2</v>
      </c>
      <c r="I115">
        <v>8.3000000000000007</v>
      </c>
      <c r="J115">
        <v>11</v>
      </c>
      <c r="K115" t="s">
        <v>19</v>
      </c>
      <c r="L115">
        <v>1</v>
      </c>
      <c r="M115" t="s">
        <v>31</v>
      </c>
      <c r="N115" t="s">
        <v>35</v>
      </c>
      <c r="O115">
        <v>1</v>
      </c>
    </row>
    <row r="116" spans="1:15" x14ac:dyDescent="0.2">
      <c r="A116" t="s">
        <v>149</v>
      </c>
      <c r="B116" s="1">
        <v>46006.291666666664</v>
      </c>
      <c r="C116" t="s">
        <v>11</v>
      </c>
      <c r="D116" t="s">
        <v>16</v>
      </c>
      <c r="E116" t="s">
        <v>25</v>
      </c>
      <c r="F116">
        <v>3</v>
      </c>
      <c r="G116" t="s">
        <v>26</v>
      </c>
      <c r="H116">
        <v>6.4</v>
      </c>
      <c r="I116">
        <v>1.6</v>
      </c>
      <c r="J116">
        <v>9</v>
      </c>
      <c r="K116" t="s">
        <v>15</v>
      </c>
      <c r="L116">
        <v>0</v>
      </c>
      <c r="M116" t="s">
        <v>31</v>
      </c>
      <c r="N116" t="s">
        <v>32</v>
      </c>
      <c r="O116">
        <v>1</v>
      </c>
    </row>
    <row r="117" spans="1:15" x14ac:dyDescent="0.2">
      <c r="A117" t="s">
        <v>150</v>
      </c>
      <c r="B117" s="1">
        <v>46052.25</v>
      </c>
      <c r="C117" t="s">
        <v>11</v>
      </c>
      <c r="D117" t="s">
        <v>16</v>
      </c>
      <c r="E117" t="s">
        <v>13</v>
      </c>
      <c r="F117">
        <v>5</v>
      </c>
      <c r="G117" t="s">
        <v>14</v>
      </c>
      <c r="H117">
        <v>6</v>
      </c>
      <c r="I117">
        <v>3.9</v>
      </c>
      <c r="J117">
        <v>9</v>
      </c>
      <c r="K117" t="s">
        <v>15</v>
      </c>
      <c r="L117">
        <v>0</v>
      </c>
      <c r="M117" t="s">
        <v>31</v>
      </c>
      <c r="N117" t="s">
        <v>32</v>
      </c>
      <c r="O117">
        <v>1</v>
      </c>
    </row>
    <row r="118" spans="1:15" x14ac:dyDescent="0.2">
      <c r="A118" t="s">
        <v>151</v>
      </c>
      <c r="B118" s="1">
        <v>46054</v>
      </c>
      <c r="C118" t="s">
        <v>11</v>
      </c>
      <c r="D118" t="s">
        <v>12</v>
      </c>
      <c r="E118" t="s">
        <v>23</v>
      </c>
      <c r="F118">
        <v>5</v>
      </c>
      <c r="G118" t="s">
        <v>14</v>
      </c>
      <c r="H118">
        <v>1.9</v>
      </c>
      <c r="I118">
        <v>1</v>
      </c>
      <c r="J118">
        <v>11</v>
      </c>
      <c r="K118" t="s">
        <v>19</v>
      </c>
      <c r="L118">
        <v>1</v>
      </c>
      <c r="M118" t="s">
        <v>31</v>
      </c>
      <c r="N118" t="s">
        <v>35</v>
      </c>
      <c r="O118">
        <v>1</v>
      </c>
    </row>
    <row r="119" spans="1:15" x14ac:dyDescent="0.2">
      <c r="A119" t="s">
        <v>152</v>
      </c>
      <c r="B119" s="1">
        <v>46072.083333333336</v>
      </c>
      <c r="C119" t="s">
        <v>20</v>
      </c>
      <c r="D119" t="s">
        <v>17</v>
      </c>
      <c r="E119" t="s">
        <v>25</v>
      </c>
      <c r="F119">
        <v>1</v>
      </c>
      <c r="G119" t="s">
        <v>24</v>
      </c>
      <c r="H119">
        <v>7.6</v>
      </c>
      <c r="I119">
        <v>11.7</v>
      </c>
      <c r="J119">
        <v>11</v>
      </c>
      <c r="K119" t="s">
        <v>15</v>
      </c>
      <c r="L119">
        <v>0</v>
      </c>
      <c r="M119" t="s">
        <v>31</v>
      </c>
      <c r="N119" t="s">
        <v>32</v>
      </c>
      <c r="O119">
        <v>1</v>
      </c>
    </row>
    <row r="120" spans="1:15" x14ac:dyDescent="0.2">
      <c r="A120" t="s">
        <v>153</v>
      </c>
      <c r="B120" s="1">
        <v>46001.958333333336</v>
      </c>
      <c r="C120" t="s">
        <v>11</v>
      </c>
      <c r="D120" t="s">
        <v>12</v>
      </c>
      <c r="E120" t="s">
        <v>13</v>
      </c>
      <c r="F120">
        <v>3</v>
      </c>
      <c r="G120" t="s">
        <v>26</v>
      </c>
      <c r="H120">
        <v>7.1</v>
      </c>
      <c r="I120">
        <v>7.7</v>
      </c>
      <c r="J120">
        <v>11</v>
      </c>
      <c r="K120" t="s">
        <v>15</v>
      </c>
      <c r="L120">
        <v>0</v>
      </c>
      <c r="M120" t="s">
        <v>31</v>
      </c>
      <c r="N120" t="s">
        <v>32</v>
      </c>
      <c r="O120">
        <v>1</v>
      </c>
    </row>
    <row r="121" spans="1:15" x14ac:dyDescent="0.2">
      <c r="A121" t="s">
        <v>154</v>
      </c>
      <c r="B121" s="1">
        <v>46052.916666666664</v>
      </c>
      <c r="C121" t="s">
        <v>11</v>
      </c>
      <c r="D121" t="s">
        <v>12</v>
      </c>
      <c r="E121" t="s">
        <v>21</v>
      </c>
      <c r="F121">
        <v>3</v>
      </c>
      <c r="G121" t="s">
        <v>26</v>
      </c>
      <c r="H121">
        <v>4.5</v>
      </c>
      <c r="I121">
        <v>4.8</v>
      </c>
      <c r="J121">
        <v>12</v>
      </c>
      <c r="K121" t="s">
        <v>15</v>
      </c>
      <c r="L121">
        <v>0</v>
      </c>
      <c r="M121" t="s">
        <v>31</v>
      </c>
      <c r="N121" t="s">
        <v>32</v>
      </c>
      <c r="O121">
        <v>1</v>
      </c>
    </row>
    <row r="122" spans="1:15" x14ac:dyDescent="0.2">
      <c r="A122" t="s">
        <v>155</v>
      </c>
      <c r="B122" s="1">
        <v>46077.583333333336</v>
      </c>
      <c r="C122" t="s">
        <v>11</v>
      </c>
      <c r="D122" t="s">
        <v>17</v>
      </c>
      <c r="E122" t="s">
        <v>21</v>
      </c>
      <c r="F122">
        <v>4</v>
      </c>
      <c r="G122" t="s">
        <v>14</v>
      </c>
      <c r="H122">
        <v>4.4000000000000004</v>
      </c>
      <c r="I122">
        <v>12</v>
      </c>
      <c r="J122">
        <v>12</v>
      </c>
      <c r="K122" t="s">
        <v>15</v>
      </c>
      <c r="L122">
        <v>0</v>
      </c>
      <c r="M122" t="s">
        <v>31</v>
      </c>
      <c r="N122" t="s">
        <v>32</v>
      </c>
      <c r="O122">
        <v>1</v>
      </c>
    </row>
    <row r="123" spans="1:15" x14ac:dyDescent="0.2">
      <c r="A123" t="s">
        <v>156</v>
      </c>
      <c r="B123" s="1">
        <v>46072.333333333336</v>
      </c>
      <c r="C123" t="s">
        <v>11</v>
      </c>
      <c r="D123" t="s">
        <v>17</v>
      </c>
      <c r="E123" t="s">
        <v>23</v>
      </c>
      <c r="F123">
        <v>3</v>
      </c>
      <c r="G123" t="s">
        <v>26</v>
      </c>
      <c r="H123">
        <v>5.6</v>
      </c>
      <c r="I123">
        <v>15.4</v>
      </c>
      <c r="J123">
        <v>10</v>
      </c>
      <c r="K123" t="s">
        <v>15</v>
      </c>
      <c r="L123">
        <v>0</v>
      </c>
      <c r="M123" t="s">
        <v>31</v>
      </c>
      <c r="N123" t="s">
        <v>32</v>
      </c>
      <c r="O123">
        <v>1</v>
      </c>
    </row>
    <row r="124" spans="1:15" x14ac:dyDescent="0.2">
      <c r="A124" t="s">
        <v>157</v>
      </c>
      <c r="B124" s="1">
        <v>46051.666666666664</v>
      </c>
      <c r="C124" t="s">
        <v>11</v>
      </c>
      <c r="D124" t="s">
        <v>17</v>
      </c>
      <c r="E124" t="s">
        <v>18</v>
      </c>
      <c r="F124">
        <v>2</v>
      </c>
      <c r="G124" t="s">
        <v>24</v>
      </c>
      <c r="H124">
        <v>2</v>
      </c>
      <c r="I124">
        <v>29.2</v>
      </c>
      <c r="J124">
        <v>12</v>
      </c>
      <c r="K124" t="s">
        <v>19</v>
      </c>
      <c r="L124">
        <v>1</v>
      </c>
      <c r="M124" t="s">
        <v>55</v>
      </c>
      <c r="N124" t="s">
        <v>35</v>
      </c>
      <c r="O124">
        <v>1</v>
      </c>
    </row>
    <row r="125" spans="1:15" x14ac:dyDescent="0.2">
      <c r="A125" t="s">
        <v>158</v>
      </c>
      <c r="B125" s="1">
        <v>45996.375</v>
      </c>
      <c r="C125" t="s">
        <v>20</v>
      </c>
      <c r="D125" t="s">
        <v>17</v>
      </c>
      <c r="E125" t="s">
        <v>23</v>
      </c>
      <c r="F125">
        <v>4</v>
      </c>
      <c r="G125" t="s">
        <v>14</v>
      </c>
      <c r="H125">
        <v>4.3</v>
      </c>
      <c r="I125">
        <v>1</v>
      </c>
      <c r="J125">
        <v>11</v>
      </c>
      <c r="K125" t="s">
        <v>15</v>
      </c>
      <c r="L125">
        <v>0</v>
      </c>
      <c r="M125" t="s">
        <v>31</v>
      </c>
      <c r="N125" t="s">
        <v>32</v>
      </c>
      <c r="O125">
        <v>1</v>
      </c>
    </row>
    <row r="126" spans="1:15" x14ac:dyDescent="0.2">
      <c r="A126" t="s">
        <v>159</v>
      </c>
      <c r="B126" s="1">
        <v>46054.291666666664</v>
      </c>
      <c r="C126" t="s">
        <v>11</v>
      </c>
      <c r="D126" t="s">
        <v>16</v>
      </c>
      <c r="E126" t="s">
        <v>18</v>
      </c>
      <c r="F126">
        <v>5</v>
      </c>
      <c r="G126" t="s">
        <v>14</v>
      </c>
      <c r="H126">
        <v>0.1</v>
      </c>
      <c r="I126">
        <v>21.8</v>
      </c>
      <c r="J126">
        <v>12</v>
      </c>
      <c r="K126" t="s">
        <v>19</v>
      </c>
      <c r="L126">
        <v>1</v>
      </c>
      <c r="M126" t="s">
        <v>31</v>
      </c>
      <c r="N126" t="s">
        <v>41</v>
      </c>
      <c r="O126">
        <v>1</v>
      </c>
    </row>
    <row r="127" spans="1:15" x14ac:dyDescent="0.2">
      <c r="A127" t="s">
        <v>160</v>
      </c>
      <c r="B127" s="1">
        <v>46065.041666666664</v>
      </c>
      <c r="C127" t="s">
        <v>11</v>
      </c>
      <c r="D127" t="s">
        <v>16</v>
      </c>
      <c r="E127" t="s">
        <v>25</v>
      </c>
      <c r="F127">
        <v>5</v>
      </c>
      <c r="G127" t="s">
        <v>14</v>
      </c>
      <c r="H127">
        <v>6.4</v>
      </c>
      <c r="I127">
        <v>20.3</v>
      </c>
      <c r="J127">
        <v>9</v>
      </c>
      <c r="K127" t="s">
        <v>15</v>
      </c>
      <c r="L127">
        <v>0</v>
      </c>
      <c r="M127" t="s">
        <v>31</v>
      </c>
      <c r="N127" t="s">
        <v>32</v>
      </c>
      <c r="O127">
        <v>1</v>
      </c>
    </row>
    <row r="128" spans="1:15" x14ac:dyDescent="0.2">
      <c r="A128" t="s">
        <v>161</v>
      </c>
      <c r="B128" s="1">
        <v>46008.25</v>
      </c>
      <c r="C128" t="s">
        <v>11</v>
      </c>
      <c r="D128" t="s">
        <v>12</v>
      </c>
      <c r="E128" t="s">
        <v>25</v>
      </c>
      <c r="F128">
        <v>5</v>
      </c>
      <c r="G128" t="s">
        <v>14</v>
      </c>
      <c r="H128">
        <v>0.3</v>
      </c>
      <c r="I128">
        <v>6.3</v>
      </c>
      <c r="J128">
        <v>11</v>
      </c>
      <c r="K128" t="s">
        <v>19</v>
      </c>
      <c r="L128">
        <v>1</v>
      </c>
      <c r="M128" t="s">
        <v>31</v>
      </c>
      <c r="N128" t="s">
        <v>41</v>
      </c>
      <c r="O128">
        <v>1</v>
      </c>
    </row>
    <row r="129" spans="1:15" x14ac:dyDescent="0.2">
      <c r="A129" t="s">
        <v>162</v>
      </c>
      <c r="B129" s="1">
        <v>46021.708333333336</v>
      </c>
      <c r="C129" t="s">
        <v>11</v>
      </c>
      <c r="D129" t="s">
        <v>12</v>
      </c>
      <c r="E129" t="s">
        <v>13</v>
      </c>
      <c r="F129">
        <v>2</v>
      </c>
      <c r="G129" t="s">
        <v>24</v>
      </c>
      <c r="H129">
        <v>8</v>
      </c>
      <c r="I129">
        <v>14.1</v>
      </c>
      <c r="J129">
        <v>12</v>
      </c>
      <c r="K129" t="s">
        <v>15</v>
      </c>
      <c r="L129">
        <v>0</v>
      </c>
      <c r="M129" t="s">
        <v>31</v>
      </c>
      <c r="N129" t="s">
        <v>32</v>
      </c>
      <c r="O129">
        <v>1</v>
      </c>
    </row>
    <row r="130" spans="1:15" x14ac:dyDescent="0.2">
      <c r="A130" t="s">
        <v>163</v>
      </c>
      <c r="B130" s="1">
        <v>46021.458333333336</v>
      </c>
      <c r="C130" t="s">
        <v>22</v>
      </c>
      <c r="D130" t="s">
        <v>12</v>
      </c>
      <c r="E130" t="s">
        <v>21</v>
      </c>
      <c r="F130">
        <v>5</v>
      </c>
      <c r="G130" t="s">
        <v>14</v>
      </c>
      <c r="H130">
        <v>3.4</v>
      </c>
      <c r="I130">
        <v>8.8000000000000007</v>
      </c>
      <c r="J130">
        <v>11</v>
      </c>
      <c r="K130" t="s">
        <v>19</v>
      </c>
      <c r="L130">
        <v>1</v>
      </c>
      <c r="M130" t="s">
        <v>31</v>
      </c>
      <c r="N130" t="s">
        <v>35</v>
      </c>
      <c r="O130">
        <v>1</v>
      </c>
    </row>
    <row r="131" spans="1:15" x14ac:dyDescent="0.2">
      <c r="A131" t="s">
        <v>164</v>
      </c>
      <c r="B131" s="1">
        <v>46057.875</v>
      </c>
      <c r="C131" t="s">
        <v>11</v>
      </c>
      <c r="D131" t="s">
        <v>12</v>
      </c>
      <c r="E131" t="s">
        <v>23</v>
      </c>
      <c r="F131">
        <v>5</v>
      </c>
      <c r="G131" t="s">
        <v>14</v>
      </c>
      <c r="H131">
        <v>3.7</v>
      </c>
      <c r="I131">
        <v>14</v>
      </c>
      <c r="J131">
        <v>9</v>
      </c>
      <c r="K131" t="s">
        <v>19</v>
      </c>
      <c r="L131">
        <v>1</v>
      </c>
      <c r="M131" t="s">
        <v>31</v>
      </c>
      <c r="N131" t="s">
        <v>35</v>
      </c>
      <c r="O131">
        <v>1</v>
      </c>
    </row>
    <row r="132" spans="1:15" x14ac:dyDescent="0.2">
      <c r="A132" t="s">
        <v>165</v>
      </c>
      <c r="B132" s="1">
        <v>46069.125</v>
      </c>
      <c r="C132" t="s">
        <v>11</v>
      </c>
      <c r="D132" t="s">
        <v>16</v>
      </c>
      <c r="E132" t="s">
        <v>13</v>
      </c>
      <c r="F132">
        <v>5</v>
      </c>
      <c r="G132" t="s">
        <v>14</v>
      </c>
      <c r="H132">
        <v>2.6</v>
      </c>
      <c r="I132">
        <v>24.6</v>
      </c>
      <c r="J132">
        <v>9</v>
      </c>
      <c r="K132" t="s">
        <v>19</v>
      </c>
      <c r="L132">
        <v>1</v>
      </c>
      <c r="M132" t="s">
        <v>55</v>
      </c>
      <c r="N132" t="s">
        <v>35</v>
      </c>
      <c r="O132">
        <v>1</v>
      </c>
    </row>
    <row r="133" spans="1:15" x14ac:dyDescent="0.2">
      <c r="A133" t="s">
        <v>166</v>
      </c>
      <c r="B133" s="1">
        <v>46026.541666666664</v>
      </c>
      <c r="C133" t="s">
        <v>11</v>
      </c>
      <c r="D133" t="s">
        <v>16</v>
      </c>
      <c r="E133" t="s">
        <v>13</v>
      </c>
      <c r="F133">
        <v>5</v>
      </c>
      <c r="G133" t="s">
        <v>14</v>
      </c>
      <c r="H133">
        <v>3.5</v>
      </c>
      <c r="I133">
        <v>17.3</v>
      </c>
      <c r="J133">
        <v>12</v>
      </c>
      <c r="K133" t="s">
        <v>19</v>
      </c>
      <c r="L133">
        <v>1</v>
      </c>
      <c r="M133" t="s">
        <v>31</v>
      </c>
      <c r="N133" t="s">
        <v>35</v>
      </c>
      <c r="O133">
        <v>1</v>
      </c>
    </row>
    <row r="134" spans="1:15" x14ac:dyDescent="0.2">
      <c r="A134" t="s">
        <v>167</v>
      </c>
      <c r="B134" s="1">
        <v>46027.458333333336</v>
      </c>
      <c r="C134" t="s">
        <v>20</v>
      </c>
      <c r="D134" t="s">
        <v>12</v>
      </c>
      <c r="E134" t="s">
        <v>25</v>
      </c>
      <c r="F134">
        <v>5</v>
      </c>
      <c r="G134" t="s">
        <v>14</v>
      </c>
      <c r="H134">
        <v>7.7</v>
      </c>
      <c r="I134">
        <v>16.600000000000001</v>
      </c>
      <c r="J134">
        <v>11</v>
      </c>
      <c r="K134" t="s">
        <v>15</v>
      </c>
      <c r="L134">
        <v>0</v>
      </c>
      <c r="M134" t="s">
        <v>31</v>
      </c>
      <c r="N134" t="s">
        <v>32</v>
      </c>
      <c r="O134">
        <v>1</v>
      </c>
    </row>
    <row r="135" spans="1:15" x14ac:dyDescent="0.2">
      <c r="A135" t="s">
        <v>168</v>
      </c>
      <c r="B135" s="1">
        <v>46022.041666666664</v>
      </c>
      <c r="C135" t="s">
        <v>11</v>
      </c>
      <c r="D135" t="s">
        <v>12</v>
      </c>
      <c r="E135" t="s">
        <v>23</v>
      </c>
      <c r="F135">
        <v>4</v>
      </c>
      <c r="G135" t="s">
        <v>14</v>
      </c>
      <c r="H135">
        <v>0.1</v>
      </c>
      <c r="I135">
        <v>9.1</v>
      </c>
      <c r="J135">
        <v>10</v>
      </c>
      <c r="K135" t="s">
        <v>19</v>
      </c>
      <c r="L135">
        <v>1</v>
      </c>
      <c r="M135" t="s">
        <v>31</v>
      </c>
      <c r="N135" t="s">
        <v>41</v>
      </c>
      <c r="O135">
        <v>1</v>
      </c>
    </row>
    <row r="136" spans="1:15" x14ac:dyDescent="0.2">
      <c r="A136" t="s">
        <v>169</v>
      </c>
      <c r="B136" s="1">
        <v>46075.125</v>
      </c>
      <c r="C136" t="s">
        <v>11</v>
      </c>
      <c r="D136" t="s">
        <v>16</v>
      </c>
      <c r="E136" t="s">
        <v>25</v>
      </c>
      <c r="F136">
        <v>3</v>
      </c>
      <c r="G136" t="s">
        <v>26</v>
      </c>
      <c r="H136">
        <v>7.4</v>
      </c>
      <c r="I136">
        <v>1</v>
      </c>
      <c r="J136">
        <v>9</v>
      </c>
      <c r="K136" t="s">
        <v>15</v>
      </c>
      <c r="L136">
        <v>0</v>
      </c>
      <c r="M136" t="s">
        <v>31</v>
      </c>
      <c r="N136" t="s">
        <v>32</v>
      </c>
      <c r="O136">
        <v>1</v>
      </c>
    </row>
    <row r="137" spans="1:15" x14ac:dyDescent="0.2">
      <c r="A137" t="s">
        <v>170</v>
      </c>
      <c r="B137" s="1">
        <v>45998.166666666664</v>
      </c>
      <c r="C137" t="s">
        <v>11</v>
      </c>
      <c r="D137" t="s">
        <v>12</v>
      </c>
      <c r="E137" t="s">
        <v>21</v>
      </c>
      <c r="F137">
        <v>5</v>
      </c>
      <c r="G137" t="s">
        <v>14</v>
      </c>
      <c r="H137">
        <v>5</v>
      </c>
      <c r="I137">
        <v>10.8</v>
      </c>
      <c r="J137">
        <v>10</v>
      </c>
      <c r="K137" t="s">
        <v>15</v>
      </c>
      <c r="L137">
        <v>0</v>
      </c>
      <c r="M137" t="s">
        <v>31</v>
      </c>
      <c r="N137" t="s">
        <v>32</v>
      </c>
      <c r="O137">
        <v>1</v>
      </c>
    </row>
    <row r="138" spans="1:15" x14ac:dyDescent="0.2">
      <c r="A138" t="s">
        <v>171</v>
      </c>
      <c r="B138" s="1">
        <v>46069.958333333336</v>
      </c>
      <c r="C138" t="s">
        <v>11</v>
      </c>
      <c r="D138" t="s">
        <v>17</v>
      </c>
      <c r="E138" t="s">
        <v>13</v>
      </c>
      <c r="F138">
        <v>5</v>
      </c>
      <c r="G138" t="s">
        <v>14</v>
      </c>
      <c r="H138">
        <v>1.2</v>
      </c>
      <c r="I138">
        <v>22.2</v>
      </c>
      <c r="J138">
        <v>12</v>
      </c>
      <c r="K138" t="s">
        <v>19</v>
      </c>
      <c r="L138">
        <v>1</v>
      </c>
      <c r="M138" t="s">
        <v>31</v>
      </c>
      <c r="N138" t="s">
        <v>35</v>
      </c>
      <c r="O138">
        <v>1</v>
      </c>
    </row>
    <row r="139" spans="1:15" x14ac:dyDescent="0.2">
      <c r="A139" t="s">
        <v>172</v>
      </c>
      <c r="B139" s="1">
        <v>46030.041666666664</v>
      </c>
      <c r="C139" t="s">
        <v>11</v>
      </c>
      <c r="D139" t="s">
        <v>16</v>
      </c>
      <c r="E139" t="s">
        <v>25</v>
      </c>
      <c r="F139">
        <v>5</v>
      </c>
      <c r="G139" t="s">
        <v>14</v>
      </c>
      <c r="H139">
        <v>1.5</v>
      </c>
      <c r="I139">
        <v>1</v>
      </c>
      <c r="J139">
        <v>9</v>
      </c>
      <c r="K139" t="s">
        <v>19</v>
      </c>
      <c r="L139">
        <v>1</v>
      </c>
      <c r="M139" t="s">
        <v>31</v>
      </c>
      <c r="N139" t="s">
        <v>35</v>
      </c>
      <c r="O139">
        <v>1</v>
      </c>
    </row>
    <row r="140" spans="1:15" x14ac:dyDescent="0.2">
      <c r="A140" t="s">
        <v>173</v>
      </c>
      <c r="B140" s="1">
        <v>46038.875</v>
      </c>
      <c r="C140" t="s">
        <v>11</v>
      </c>
      <c r="D140" t="s">
        <v>16</v>
      </c>
      <c r="E140" t="s">
        <v>13</v>
      </c>
      <c r="F140">
        <v>4</v>
      </c>
      <c r="G140" t="s">
        <v>14</v>
      </c>
      <c r="H140">
        <v>8.4</v>
      </c>
      <c r="I140">
        <v>4.0999999999999996</v>
      </c>
      <c r="J140">
        <v>10</v>
      </c>
      <c r="K140" t="s">
        <v>15</v>
      </c>
      <c r="L140">
        <v>0</v>
      </c>
      <c r="M140" t="s">
        <v>31</v>
      </c>
      <c r="N140" t="s">
        <v>32</v>
      </c>
      <c r="O140">
        <v>1</v>
      </c>
    </row>
    <row r="141" spans="1:15" x14ac:dyDescent="0.2">
      <c r="A141" t="s">
        <v>174</v>
      </c>
      <c r="B141" s="1">
        <v>46050.75</v>
      </c>
      <c r="C141" t="s">
        <v>11</v>
      </c>
      <c r="D141" t="s">
        <v>16</v>
      </c>
      <c r="E141" t="s">
        <v>21</v>
      </c>
      <c r="F141">
        <v>2</v>
      </c>
      <c r="G141" t="s">
        <v>24</v>
      </c>
      <c r="H141">
        <v>1.8</v>
      </c>
      <c r="I141">
        <v>13.5</v>
      </c>
      <c r="J141">
        <v>9</v>
      </c>
      <c r="K141" t="s">
        <v>19</v>
      </c>
      <c r="L141">
        <v>1</v>
      </c>
      <c r="M141" t="s">
        <v>31</v>
      </c>
      <c r="N141" t="s">
        <v>35</v>
      </c>
      <c r="O141">
        <v>1</v>
      </c>
    </row>
    <row r="142" spans="1:15" x14ac:dyDescent="0.2">
      <c r="A142" t="s">
        <v>175</v>
      </c>
      <c r="B142" s="1">
        <v>46057.291666666664</v>
      </c>
      <c r="C142" t="s">
        <v>11</v>
      </c>
      <c r="D142" t="s">
        <v>17</v>
      </c>
      <c r="E142" t="s">
        <v>21</v>
      </c>
      <c r="F142">
        <v>4</v>
      </c>
      <c r="G142" t="s">
        <v>14</v>
      </c>
      <c r="H142">
        <v>1.3</v>
      </c>
      <c r="I142">
        <v>4.5999999999999996</v>
      </c>
      <c r="J142">
        <v>10</v>
      </c>
      <c r="K142" t="s">
        <v>19</v>
      </c>
      <c r="L142">
        <v>1</v>
      </c>
      <c r="M142" t="s">
        <v>31</v>
      </c>
      <c r="N142" t="s">
        <v>35</v>
      </c>
      <c r="O142">
        <v>1</v>
      </c>
    </row>
    <row r="143" spans="1:15" x14ac:dyDescent="0.2">
      <c r="A143" t="s">
        <v>176</v>
      </c>
      <c r="B143" s="1">
        <v>46024.833333333336</v>
      </c>
      <c r="C143" t="s">
        <v>11</v>
      </c>
      <c r="D143" t="s">
        <v>12</v>
      </c>
      <c r="E143" t="s">
        <v>23</v>
      </c>
      <c r="F143">
        <v>5</v>
      </c>
      <c r="G143" t="s">
        <v>14</v>
      </c>
      <c r="H143">
        <v>7</v>
      </c>
      <c r="I143">
        <v>6.2</v>
      </c>
      <c r="J143">
        <v>11</v>
      </c>
      <c r="K143" t="s">
        <v>15</v>
      </c>
      <c r="L143">
        <v>0</v>
      </c>
      <c r="M143" t="s">
        <v>31</v>
      </c>
      <c r="N143" t="s">
        <v>32</v>
      </c>
      <c r="O143">
        <v>1</v>
      </c>
    </row>
    <row r="144" spans="1:15" x14ac:dyDescent="0.2">
      <c r="A144" t="s">
        <v>177</v>
      </c>
      <c r="B144" s="1">
        <v>46027.791666666664</v>
      </c>
      <c r="C144" t="s">
        <v>11</v>
      </c>
      <c r="D144" t="s">
        <v>16</v>
      </c>
      <c r="E144" t="s">
        <v>25</v>
      </c>
      <c r="F144">
        <v>5</v>
      </c>
      <c r="G144" t="s">
        <v>14</v>
      </c>
      <c r="H144">
        <v>5</v>
      </c>
      <c r="I144">
        <v>9.1</v>
      </c>
      <c r="J144">
        <v>11</v>
      </c>
      <c r="K144" t="s">
        <v>15</v>
      </c>
      <c r="L144">
        <v>0</v>
      </c>
      <c r="M144" t="s">
        <v>31</v>
      </c>
      <c r="N144" t="s">
        <v>32</v>
      </c>
      <c r="O144">
        <v>1</v>
      </c>
    </row>
    <row r="145" spans="1:15" x14ac:dyDescent="0.2">
      <c r="A145" t="s">
        <v>178</v>
      </c>
      <c r="B145" s="1">
        <v>46046.416666666664</v>
      </c>
      <c r="C145" t="s">
        <v>11</v>
      </c>
      <c r="D145" t="s">
        <v>16</v>
      </c>
      <c r="E145" t="s">
        <v>23</v>
      </c>
      <c r="F145">
        <v>4</v>
      </c>
      <c r="G145" t="s">
        <v>14</v>
      </c>
      <c r="H145">
        <v>1.9</v>
      </c>
      <c r="I145">
        <v>1.6</v>
      </c>
      <c r="J145">
        <v>12</v>
      </c>
      <c r="K145" t="s">
        <v>19</v>
      </c>
      <c r="L145">
        <v>1</v>
      </c>
      <c r="M145" t="s">
        <v>31</v>
      </c>
      <c r="N145" t="s">
        <v>35</v>
      </c>
      <c r="O145">
        <v>1</v>
      </c>
    </row>
    <row r="146" spans="1:15" x14ac:dyDescent="0.2">
      <c r="A146" t="s">
        <v>179</v>
      </c>
      <c r="B146" s="1">
        <v>46050.916666666664</v>
      </c>
      <c r="C146" t="s">
        <v>11</v>
      </c>
      <c r="D146" t="s">
        <v>12</v>
      </c>
      <c r="E146" t="s">
        <v>23</v>
      </c>
      <c r="F146">
        <v>4</v>
      </c>
      <c r="G146" t="s">
        <v>14</v>
      </c>
      <c r="H146">
        <v>4.7</v>
      </c>
      <c r="I146">
        <v>4.7</v>
      </c>
      <c r="J146">
        <v>9</v>
      </c>
      <c r="K146" t="s">
        <v>15</v>
      </c>
      <c r="L146">
        <v>0</v>
      </c>
      <c r="M146" t="s">
        <v>31</v>
      </c>
      <c r="N146" t="s">
        <v>32</v>
      </c>
      <c r="O146">
        <v>1</v>
      </c>
    </row>
    <row r="147" spans="1:15" x14ac:dyDescent="0.2">
      <c r="A147" t="s">
        <v>180</v>
      </c>
      <c r="B147" s="1">
        <v>46025.291666666664</v>
      </c>
      <c r="C147" t="s">
        <v>22</v>
      </c>
      <c r="D147" t="s">
        <v>17</v>
      </c>
      <c r="E147" t="s">
        <v>21</v>
      </c>
      <c r="F147">
        <v>4</v>
      </c>
      <c r="G147" t="s">
        <v>14</v>
      </c>
      <c r="H147">
        <v>1.6</v>
      </c>
      <c r="I147">
        <v>18.100000000000001</v>
      </c>
      <c r="J147">
        <v>10</v>
      </c>
      <c r="K147" t="s">
        <v>19</v>
      </c>
      <c r="L147">
        <v>1</v>
      </c>
      <c r="M147" t="s">
        <v>31</v>
      </c>
      <c r="N147" t="s">
        <v>35</v>
      </c>
      <c r="O147">
        <v>1</v>
      </c>
    </row>
    <row r="148" spans="1:15" x14ac:dyDescent="0.2">
      <c r="A148" t="s">
        <v>181</v>
      </c>
      <c r="B148" s="1">
        <v>46069.958333333336</v>
      </c>
      <c r="C148" t="s">
        <v>11</v>
      </c>
      <c r="D148" t="s">
        <v>17</v>
      </c>
      <c r="E148" t="s">
        <v>23</v>
      </c>
      <c r="F148">
        <v>5</v>
      </c>
      <c r="G148" t="s">
        <v>14</v>
      </c>
      <c r="H148">
        <v>7</v>
      </c>
      <c r="I148">
        <v>2</v>
      </c>
      <c r="J148">
        <v>12</v>
      </c>
      <c r="K148" t="s">
        <v>15</v>
      </c>
      <c r="L148">
        <v>0</v>
      </c>
      <c r="M148" t="s">
        <v>31</v>
      </c>
      <c r="N148" t="s">
        <v>32</v>
      </c>
      <c r="O148">
        <v>1</v>
      </c>
    </row>
    <row r="149" spans="1:15" x14ac:dyDescent="0.2">
      <c r="A149" t="s">
        <v>182</v>
      </c>
      <c r="B149" s="1">
        <v>45998.291666666664</v>
      </c>
      <c r="C149" t="s">
        <v>11</v>
      </c>
      <c r="D149" t="s">
        <v>16</v>
      </c>
      <c r="E149" t="s">
        <v>23</v>
      </c>
      <c r="F149">
        <v>5</v>
      </c>
      <c r="G149" t="s">
        <v>14</v>
      </c>
      <c r="H149">
        <v>6.9</v>
      </c>
      <c r="I149">
        <v>1</v>
      </c>
      <c r="J149">
        <v>11</v>
      </c>
      <c r="K149" t="s">
        <v>15</v>
      </c>
      <c r="L149">
        <v>0</v>
      </c>
      <c r="M149" t="s">
        <v>31</v>
      </c>
      <c r="N149" t="s">
        <v>32</v>
      </c>
      <c r="O149">
        <v>1</v>
      </c>
    </row>
    <row r="150" spans="1:15" x14ac:dyDescent="0.2">
      <c r="A150" t="s">
        <v>183</v>
      </c>
      <c r="B150" s="1">
        <v>46080.916666666664</v>
      </c>
      <c r="C150" t="s">
        <v>22</v>
      </c>
      <c r="D150" t="s">
        <v>17</v>
      </c>
      <c r="E150" t="s">
        <v>23</v>
      </c>
      <c r="F150">
        <v>5</v>
      </c>
      <c r="G150" t="s">
        <v>14</v>
      </c>
      <c r="H150">
        <v>5.5</v>
      </c>
      <c r="I150">
        <v>7.5</v>
      </c>
      <c r="J150">
        <v>11</v>
      </c>
      <c r="K150" t="s">
        <v>15</v>
      </c>
      <c r="L150">
        <v>0</v>
      </c>
      <c r="M150" t="s">
        <v>31</v>
      </c>
      <c r="N150" t="s">
        <v>32</v>
      </c>
      <c r="O150">
        <v>1</v>
      </c>
    </row>
    <row r="151" spans="1:15" x14ac:dyDescent="0.2">
      <c r="A151" t="s">
        <v>184</v>
      </c>
      <c r="B151" s="1">
        <v>46051.791666666664</v>
      </c>
      <c r="C151" t="s">
        <v>11</v>
      </c>
      <c r="D151" t="s">
        <v>17</v>
      </c>
      <c r="E151" t="s">
        <v>21</v>
      </c>
      <c r="F151">
        <v>4</v>
      </c>
      <c r="G151" t="s">
        <v>14</v>
      </c>
      <c r="H151">
        <v>5.0999999999999996</v>
      </c>
      <c r="I151">
        <v>18.399999999999999</v>
      </c>
      <c r="J151">
        <v>12</v>
      </c>
      <c r="K151" t="s">
        <v>15</v>
      </c>
      <c r="L151">
        <v>0</v>
      </c>
      <c r="M151" t="s">
        <v>31</v>
      </c>
      <c r="N151" t="s">
        <v>32</v>
      </c>
      <c r="O151">
        <v>1</v>
      </c>
    </row>
    <row r="152" spans="1:15" x14ac:dyDescent="0.2">
      <c r="A152" t="s">
        <v>185</v>
      </c>
      <c r="B152" s="1">
        <v>46029.375</v>
      </c>
      <c r="C152" t="s">
        <v>11</v>
      </c>
      <c r="D152" t="s">
        <v>16</v>
      </c>
      <c r="E152" t="s">
        <v>23</v>
      </c>
      <c r="F152">
        <v>5</v>
      </c>
      <c r="G152" t="s">
        <v>14</v>
      </c>
      <c r="H152">
        <v>8.6</v>
      </c>
      <c r="I152">
        <v>10.9</v>
      </c>
      <c r="J152">
        <v>9</v>
      </c>
      <c r="K152" t="s">
        <v>15</v>
      </c>
      <c r="L152">
        <v>0</v>
      </c>
      <c r="M152" t="s">
        <v>31</v>
      </c>
      <c r="N152" t="s">
        <v>32</v>
      </c>
      <c r="O152">
        <v>1</v>
      </c>
    </row>
    <row r="153" spans="1:15" x14ac:dyDescent="0.2">
      <c r="A153" t="s">
        <v>186</v>
      </c>
      <c r="B153" s="1">
        <v>46020.75</v>
      </c>
      <c r="C153" t="s">
        <v>11</v>
      </c>
      <c r="D153" t="s">
        <v>17</v>
      </c>
      <c r="E153" t="s">
        <v>13</v>
      </c>
      <c r="F153">
        <v>3</v>
      </c>
      <c r="G153" t="s">
        <v>26</v>
      </c>
      <c r="H153">
        <v>4.2</v>
      </c>
      <c r="I153">
        <v>8.8000000000000007</v>
      </c>
      <c r="J153">
        <v>10</v>
      </c>
      <c r="K153" t="s">
        <v>15</v>
      </c>
      <c r="L153">
        <v>0</v>
      </c>
      <c r="M153" t="s">
        <v>31</v>
      </c>
      <c r="N153" t="s">
        <v>32</v>
      </c>
      <c r="O153">
        <v>1</v>
      </c>
    </row>
    <row r="154" spans="1:15" x14ac:dyDescent="0.2">
      <c r="A154" t="s">
        <v>187</v>
      </c>
      <c r="B154" s="1">
        <v>46030.958333333336</v>
      </c>
      <c r="C154" t="s">
        <v>20</v>
      </c>
      <c r="D154" t="s">
        <v>16</v>
      </c>
      <c r="E154" t="s">
        <v>25</v>
      </c>
      <c r="F154">
        <v>5</v>
      </c>
      <c r="G154" t="s">
        <v>14</v>
      </c>
      <c r="H154">
        <v>1.2</v>
      </c>
      <c r="I154">
        <v>12.9</v>
      </c>
      <c r="J154">
        <v>11</v>
      </c>
      <c r="K154" t="s">
        <v>19</v>
      </c>
      <c r="L154">
        <v>1</v>
      </c>
      <c r="M154" t="s">
        <v>31</v>
      </c>
      <c r="N154" t="s">
        <v>35</v>
      </c>
      <c r="O154">
        <v>1</v>
      </c>
    </row>
    <row r="155" spans="1:15" x14ac:dyDescent="0.2">
      <c r="A155" t="s">
        <v>188</v>
      </c>
      <c r="B155" s="1">
        <v>46060.5</v>
      </c>
      <c r="C155" t="s">
        <v>11</v>
      </c>
      <c r="D155" t="s">
        <v>16</v>
      </c>
      <c r="E155" t="s">
        <v>21</v>
      </c>
      <c r="F155">
        <v>4</v>
      </c>
      <c r="G155" t="s">
        <v>14</v>
      </c>
      <c r="H155">
        <v>5.3</v>
      </c>
      <c r="I155">
        <v>1</v>
      </c>
      <c r="J155">
        <v>12</v>
      </c>
      <c r="K155" t="s">
        <v>15</v>
      </c>
      <c r="L155">
        <v>0</v>
      </c>
      <c r="M155" t="s">
        <v>31</v>
      </c>
      <c r="N155" t="s">
        <v>32</v>
      </c>
      <c r="O155">
        <v>1</v>
      </c>
    </row>
    <row r="156" spans="1:15" x14ac:dyDescent="0.2">
      <c r="A156" t="s">
        <v>189</v>
      </c>
      <c r="B156" s="1">
        <v>46081.5</v>
      </c>
      <c r="C156" t="s">
        <v>11</v>
      </c>
      <c r="D156" t="s">
        <v>16</v>
      </c>
      <c r="E156" t="s">
        <v>13</v>
      </c>
      <c r="F156">
        <v>4</v>
      </c>
      <c r="G156" t="s">
        <v>14</v>
      </c>
      <c r="H156">
        <v>9.4</v>
      </c>
      <c r="I156">
        <v>16.5</v>
      </c>
      <c r="J156">
        <v>11</v>
      </c>
      <c r="K156" t="s">
        <v>15</v>
      </c>
      <c r="L156">
        <v>0</v>
      </c>
      <c r="M156" t="s">
        <v>31</v>
      </c>
      <c r="N156" t="s">
        <v>32</v>
      </c>
      <c r="O156">
        <v>1</v>
      </c>
    </row>
    <row r="157" spans="1:15" x14ac:dyDescent="0.2">
      <c r="A157" t="s">
        <v>190</v>
      </c>
      <c r="B157" s="1">
        <v>46048.416666666664</v>
      </c>
      <c r="C157" t="s">
        <v>11</v>
      </c>
      <c r="D157" t="s">
        <v>17</v>
      </c>
      <c r="E157" t="s">
        <v>13</v>
      </c>
      <c r="F157">
        <v>5</v>
      </c>
      <c r="G157" t="s">
        <v>14</v>
      </c>
      <c r="H157">
        <v>1.7</v>
      </c>
      <c r="I157">
        <v>15.6</v>
      </c>
      <c r="J157">
        <v>11</v>
      </c>
      <c r="K157" t="s">
        <v>19</v>
      </c>
      <c r="L157">
        <v>1</v>
      </c>
      <c r="M157" t="s">
        <v>31</v>
      </c>
      <c r="N157" t="s">
        <v>35</v>
      </c>
      <c r="O157">
        <v>1</v>
      </c>
    </row>
    <row r="158" spans="1:15" x14ac:dyDescent="0.2">
      <c r="A158" t="s">
        <v>191</v>
      </c>
      <c r="B158" s="1">
        <v>46045.458333333336</v>
      </c>
      <c r="C158" t="s">
        <v>11</v>
      </c>
      <c r="D158" t="s">
        <v>12</v>
      </c>
      <c r="E158" t="s">
        <v>13</v>
      </c>
      <c r="F158">
        <v>5</v>
      </c>
      <c r="G158" t="s">
        <v>14</v>
      </c>
      <c r="H158">
        <v>3.3</v>
      </c>
      <c r="I158">
        <v>9.1999999999999993</v>
      </c>
      <c r="J158">
        <v>10</v>
      </c>
      <c r="K158" t="s">
        <v>19</v>
      </c>
      <c r="L158">
        <v>1</v>
      </c>
      <c r="M158" t="s">
        <v>31</v>
      </c>
      <c r="N158" t="s">
        <v>35</v>
      </c>
      <c r="O158">
        <v>1</v>
      </c>
    </row>
    <row r="159" spans="1:15" x14ac:dyDescent="0.2">
      <c r="A159" t="s">
        <v>192</v>
      </c>
      <c r="B159" s="1">
        <v>45992.041666666664</v>
      </c>
      <c r="C159" t="s">
        <v>11</v>
      </c>
      <c r="D159" t="s">
        <v>17</v>
      </c>
      <c r="E159" t="s">
        <v>23</v>
      </c>
      <c r="F159">
        <v>2</v>
      </c>
      <c r="G159" t="s">
        <v>24</v>
      </c>
      <c r="H159">
        <v>5.2</v>
      </c>
      <c r="I159">
        <v>20.5</v>
      </c>
      <c r="J159">
        <v>9</v>
      </c>
      <c r="K159" t="s">
        <v>15</v>
      </c>
      <c r="L159">
        <v>0</v>
      </c>
      <c r="M159" t="s">
        <v>31</v>
      </c>
      <c r="N159" t="s">
        <v>32</v>
      </c>
      <c r="O159">
        <v>1</v>
      </c>
    </row>
    <row r="160" spans="1:15" x14ac:dyDescent="0.2">
      <c r="A160" t="s">
        <v>193</v>
      </c>
      <c r="B160" s="1">
        <v>46010.125</v>
      </c>
      <c r="C160" t="s">
        <v>11</v>
      </c>
      <c r="D160" t="s">
        <v>17</v>
      </c>
      <c r="E160" t="s">
        <v>23</v>
      </c>
      <c r="F160">
        <v>5</v>
      </c>
      <c r="G160" t="s">
        <v>14</v>
      </c>
      <c r="H160">
        <v>4.0999999999999996</v>
      </c>
      <c r="I160">
        <v>3.5</v>
      </c>
      <c r="J160">
        <v>9</v>
      </c>
      <c r="K160" t="s">
        <v>15</v>
      </c>
      <c r="L160">
        <v>0</v>
      </c>
      <c r="M160" t="s">
        <v>31</v>
      </c>
      <c r="N160" t="s">
        <v>32</v>
      </c>
      <c r="O160">
        <v>1</v>
      </c>
    </row>
    <row r="161" spans="1:15" x14ac:dyDescent="0.2">
      <c r="A161" t="s">
        <v>194</v>
      </c>
      <c r="B161" s="1">
        <v>46019.833333333336</v>
      </c>
      <c r="C161" t="s">
        <v>11</v>
      </c>
      <c r="D161" t="s">
        <v>12</v>
      </c>
      <c r="E161" t="s">
        <v>25</v>
      </c>
      <c r="F161">
        <v>4</v>
      </c>
      <c r="G161" t="s">
        <v>14</v>
      </c>
      <c r="H161">
        <v>1.7</v>
      </c>
      <c r="I161">
        <v>21.5</v>
      </c>
      <c r="J161">
        <v>10</v>
      </c>
      <c r="K161" t="s">
        <v>19</v>
      </c>
      <c r="L161">
        <v>1</v>
      </c>
      <c r="M161" t="s">
        <v>31</v>
      </c>
      <c r="N161" t="s">
        <v>35</v>
      </c>
      <c r="O161">
        <v>1</v>
      </c>
    </row>
    <row r="162" spans="1:15" x14ac:dyDescent="0.2">
      <c r="A162" t="s">
        <v>195</v>
      </c>
      <c r="B162" s="1">
        <v>46057.625</v>
      </c>
      <c r="C162" t="s">
        <v>11</v>
      </c>
      <c r="D162" t="s">
        <v>17</v>
      </c>
      <c r="E162" t="s">
        <v>25</v>
      </c>
      <c r="F162">
        <v>4</v>
      </c>
      <c r="G162" t="s">
        <v>14</v>
      </c>
      <c r="H162">
        <v>7</v>
      </c>
      <c r="I162">
        <v>13.7</v>
      </c>
      <c r="J162">
        <v>12</v>
      </c>
      <c r="K162" t="s">
        <v>15</v>
      </c>
      <c r="L162">
        <v>0</v>
      </c>
      <c r="M162" t="s">
        <v>31</v>
      </c>
      <c r="N162" t="s">
        <v>32</v>
      </c>
      <c r="O162">
        <v>1</v>
      </c>
    </row>
    <row r="163" spans="1:15" x14ac:dyDescent="0.2">
      <c r="A163" t="s">
        <v>196</v>
      </c>
      <c r="B163" s="1">
        <v>46054.958333333336</v>
      </c>
      <c r="C163" t="s">
        <v>11</v>
      </c>
      <c r="D163" t="s">
        <v>12</v>
      </c>
      <c r="E163" t="s">
        <v>25</v>
      </c>
      <c r="F163">
        <v>1</v>
      </c>
      <c r="G163" t="s">
        <v>24</v>
      </c>
      <c r="H163">
        <v>10</v>
      </c>
      <c r="I163">
        <v>9.8000000000000007</v>
      </c>
      <c r="J163">
        <v>12</v>
      </c>
      <c r="K163" t="s">
        <v>15</v>
      </c>
      <c r="L163">
        <v>0</v>
      </c>
      <c r="M163" t="s">
        <v>31</v>
      </c>
      <c r="N163" t="s">
        <v>32</v>
      </c>
      <c r="O163">
        <v>1</v>
      </c>
    </row>
    <row r="164" spans="1:15" x14ac:dyDescent="0.2">
      <c r="A164" t="s">
        <v>197</v>
      </c>
      <c r="B164" s="1">
        <v>46007.041666666664</v>
      </c>
      <c r="C164" t="s">
        <v>11</v>
      </c>
      <c r="D164" t="s">
        <v>12</v>
      </c>
      <c r="E164" t="s">
        <v>23</v>
      </c>
      <c r="F164">
        <v>4</v>
      </c>
      <c r="G164" t="s">
        <v>14</v>
      </c>
      <c r="H164">
        <v>4.7</v>
      </c>
      <c r="I164">
        <v>12.3</v>
      </c>
      <c r="J164">
        <v>9</v>
      </c>
      <c r="K164" t="s">
        <v>15</v>
      </c>
      <c r="L164">
        <v>0</v>
      </c>
      <c r="M164" t="s">
        <v>31</v>
      </c>
      <c r="N164" t="s">
        <v>32</v>
      </c>
      <c r="O164">
        <v>1</v>
      </c>
    </row>
    <row r="165" spans="1:15" x14ac:dyDescent="0.2">
      <c r="A165" t="s">
        <v>198</v>
      </c>
      <c r="B165" s="1">
        <v>46012.958333333336</v>
      </c>
      <c r="C165" t="s">
        <v>11</v>
      </c>
      <c r="D165" t="s">
        <v>16</v>
      </c>
      <c r="E165" t="s">
        <v>21</v>
      </c>
      <c r="F165">
        <v>4</v>
      </c>
      <c r="G165" t="s">
        <v>14</v>
      </c>
      <c r="H165">
        <v>1.9</v>
      </c>
      <c r="I165">
        <v>11.6</v>
      </c>
      <c r="J165">
        <v>11</v>
      </c>
      <c r="K165" t="s">
        <v>19</v>
      </c>
      <c r="L165">
        <v>1</v>
      </c>
      <c r="M165" t="s">
        <v>31</v>
      </c>
      <c r="N165" t="s">
        <v>35</v>
      </c>
      <c r="O165">
        <v>1</v>
      </c>
    </row>
    <row r="166" spans="1:15" x14ac:dyDescent="0.2">
      <c r="A166" t="s">
        <v>199</v>
      </c>
      <c r="B166" s="1">
        <v>46041.958333333336</v>
      </c>
      <c r="C166" t="s">
        <v>20</v>
      </c>
      <c r="D166" t="s">
        <v>12</v>
      </c>
      <c r="E166" t="s">
        <v>23</v>
      </c>
      <c r="F166">
        <v>2</v>
      </c>
      <c r="G166" t="s">
        <v>24</v>
      </c>
      <c r="H166">
        <v>0.3</v>
      </c>
      <c r="I166">
        <v>22.3</v>
      </c>
      <c r="J166">
        <v>11</v>
      </c>
      <c r="K166" t="s">
        <v>19</v>
      </c>
      <c r="L166">
        <v>1</v>
      </c>
      <c r="M166" t="s">
        <v>31</v>
      </c>
      <c r="N166" t="s">
        <v>41</v>
      </c>
      <c r="O166">
        <v>1</v>
      </c>
    </row>
    <row r="167" spans="1:15" x14ac:dyDescent="0.2">
      <c r="A167" t="s">
        <v>200</v>
      </c>
      <c r="B167" s="1">
        <v>46075.25</v>
      </c>
      <c r="C167" t="s">
        <v>11</v>
      </c>
      <c r="D167" t="s">
        <v>17</v>
      </c>
      <c r="E167" t="s">
        <v>18</v>
      </c>
      <c r="F167">
        <v>4</v>
      </c>
      <c r="G167" t="s">
        <v>14</v>
      </c>
      <c r="H167">
        <v>4.8</v>
      </c>
      <c r="I167">
        <v>3.9</v>
      </c>
      <c r="J167">
        <v>12</v>
      </c>
      <c r="K167" t="s">
        <v>15</v>
      </c>
      <c r="L167">
        <v>0</v>
      </c>
      <c r="M167" t="s">
        <v>31</v>
      </c>
      <c r="N167" t="s">
        <v>32</v>
      </c>
      <c r="O167">
        <v>1</v>
      </c>
    </row>
    <row r="168" spans="1:15" x14ac:dyDescent="0.2">
      <c r="A168" t="s">
        <v>201</v>
      </c>
      <c r="B168" s="1">
        <v>46020.333333333336</v>
      </c>
      <c r="C168" t="s">
        <v>11</v>
      </c>
      <c r="D168" t="s">
        <v>17</v>
      </c>
      <c r="E168" t="s">
        <v>25</v>
      </c>
      <c r="F168">
        <v>5</v>
      </c>
      <c r="G168" t="s">
        <v>14</v>
      </c>
      <c r="H168">
        <v>7</v>
      </c>
      <c r="I168">
        <v>6.4</v>
      </c>
      <c r="J168">
        <v>10</v>
      </c>
      <c r="K168" t="s">
        <v>15</v>
      </c>
      <c r="L168">
        <v>0</v>
      </c>
      <c r="M168" t="s">
        <v>31</v>
      </c>
      <c r="N168" t="s">
        <v>32</v>
      </c>
      <c r="O168">
        <v>1</v>
      </c>
    </row>
    <row r="169" spans="1:15" x14ac:dyDescent="0.2">
      <c r="A169" t="s">
        <v>202</v>
      </c>
      <c r="B169" s="1">
        <v>46014.791666666664</v>
      </c>
      <c r="C169" t="s">
        <v>20</v>
      </c>
      <c r="D169" t="s">
        <v>16</v>
      </c>
      <c r="E169" t="s">
        <v>13</v>
      </c>
      <c r="F169">
        <v>2</v>
      </c>
      <c r="G169" t="s">
        <v>24</v>
      </c>
      <c r="H169">
        <v>5.4</v>
      </c>
      <c r="I169">
        <v>20.8</v>
      </c>
      <c r="J169">
        <v>11</v>
      </c>
      <c r="K169" t="s">
        <v>15</v>
      </c>
      <c r="L169">
        <v>0</v>
      </c>
      <c r="M169" t="s">
        <v>31</v>
      </c>
      <c r="N169" t="s">
        <v>32</v>
      </c>
      <c r="O169">
        <v>1</v>
      </c>
    </row>
    <row r="170" spans="1:15" x14ac:dyDescent="0.2">
      <c r="A170" t="s">
        <v>203</v>
      </c>
      <c r="B170" s="1">
        <v>46074.333333333336</v>
      </c>
      <c r="C170" t="s">
        <v>22</v>
      </c>
      <c r="D170" t="s">
        <v>12</v>
      </c>
      <c r="E170" t="s">
        <v>25</v>
      </c>
      <c r="F170">
        <v>5</v>
      </c>
      <c r="G170" t="s">
        <v>14</v>
      </c>
      <c r="H170">
        <v>4.2</v>
      </c>
      <c r="I170">
        <v>7.7</v>
      </c>
      <c r="J170">
        <v>12</v>
      </c>
      <c r="K170" t="s">
        <v>15</v>
      </c>
      <c r="L170">
        <v>0</v>
      </c>
      <c r="M170" t="s">
        <v>31</v>
      </c>
      <c r="N170" t="s">
        <v>32</v>
      </c>
      <c r="O170">
        <v>1</v>
      </c>
    </row>
    <row r="171" spans="1:15" x14ac:dyDescent="0.2">
      <c r="A171" t="s">
        <v>204</v>
      </c>
      <c r="B171" s="1">
        <v>46071.791666666664</v>
      </c>
      <c r="C171" t="s">
        <v>11</v>
      </c>
      <c r="D171" t="s">
        <v>12</v>
      </c>
      <c r="E171" t="s">
        <v>23</v>
      </c>
      <c r="F171">
        <v>4</v>
      </c>
      <c r="G171" t="s">
        <v>14</v>
      </c>
      <c r="H171">
        <v>2.7</v>
      </c>
      <c r="I171">
        <v>19.7</v>
      </c>
      <c r="J171">
        <v>10</v>
      </c>
      <c r="K171" t="s">
        <v>19</v>
      </c>
      <c r="L171">
        <v>1</v>
      </c>
      <c r="M171" t="s">
        <v>31</v>
      </c>
      <c r="N171" t="s">
        <v>35</v>
      </c>
      <c r="O171">
        <v>1</v>
      </c>
    </row>
    <row r="172" spans="1:15" x14ac:dyDescent="0.2">
      <c r="A172" t="s">
        <v>205</v>
      </c>
      <c r="B172" s="1">
        <v>46073.208333333336</v>
      </c>
      <c r="C172" t="s">
        <v>11</v>
      </c>
      <c r="D172" t="s">
        <v>16</v>
      </c>
      <c r="E172" t="s">
        <v>25</v>
      </c>
      <c r="F172">
        <v>5</v>
      </c>
      <c r="G172" t="s">
        <v>14</v>
      </c>
      <c r="H172">
        <v>1.5</v>
      </c>
      <c r="I172">
        <v>26.1</v>
      </c>
      <c r="J172">
        <v>9</v>
      </c>
      <c r="K172" t="s">
        <v>19</v>
      </c>
      <c r="L172">
        <v>1</v>
      </c>
      <c r="M172" t="s">
        <v>55</v>
      </c>
      <c r="N172" t="s">
        <v>35</v>
      </c>
      <c r="O172">
        <v>1</v>
      </c>
    </row>
    <row r="173" spans="1:15" x14ac:dyDescent="0.2">
      <c r="A173" t="s">
        <v>206</v>
      </c>
      <c r="B173" s="1">
        <v>46073.125</v>
      </c>
      <c r="C173" t="s">
        <v>22</v>
      </c>
      <c r="D173" t="s">
        <v>17</v>
      </c>
      <c r="E173" t="s">
        <v>13</v>
      </c>
      <c r="F173">
        <v>4</v>
      </c>
      <c r="G173" t="s">
        <v>14</v>
      </c>
      <c r="H173">
        <v>6.3</v>
      </c>
      <c r="I173">
        <v>9.3000000000000007</v>
      </c>
      <c r="J173">
        <v>10</v>
      </c>
      <c r="K173" t="s">
        <v>15</v>
      </c>
      <c r="L173">
        <v>0</v>
      </c>
      <c r="M173" t="s">
        <v>31</v>
      </c>
      <c r="N173" t="s">
        <v>32</v>
      </c>
      <c r="O173">
        <v>1</v>
      </c>
    </row>
    <row r="174" spans="1:15" x14ac:dyDescent="0.2">
      <c r="A174" t="s">
        <v>207</v>
      </c>
      <c r="B174" s="1">
        <v>46051.5</v>
      </c>
      <c r="C174" t="s">
        <v>11</v>
      </c>
      <c r="D174" t="s">
        <v>16</v>
      </c>
      <c r="E174" t="s">
        <v>13</v>
      </c>
      <c r="F174">
        <v>3</v>
      </c>
      <c r="G174" t="s">
        <v>26</v>
      </c>
      <c r="H174">
        <v>6.5</v>
      </c>
      <c r="I174">
        <v>18</v>
      </c>
      <c r="J174">
        <v>9</v>
      </c>
      <c r="K174" t="s">
        <v>15</v>
      </c>
      <c r="L174">
        <v>0</v>
      </c>
      <c r="M174" t="s">
        <v>31</v>
      </c>
      <c r="N174" t="s">
        <v>32</v>
      </c>
      <c r="O174">
        <v>1</v>
      </c>
    </row>
    <row r="175" spans="1:15" x14ac:dyDescent="0.2">
      <c r="A175" t="s">
        <v>208</v>
      </c>
      <c r="B175" s="1">
        <v>46066.25</v>
      </c>
      <c r="C175" t="s">
        <v>11</v>
      </c>
      <c r="D175" t="s">
        <v>12</v>
      </c>
      <c r="E175" t="s">
        <v>21</v>
      </c>
      <c r="F175">
        <v>3</v>
      </c>
      <c r="G175" t="s">
        <v>26</v>
      </c>
      <c r="H175">
        <v>0.3</v>
      </c>
      <c r="I175">
        <v>3.3</v>
      </c>
      <c r="J175">
        <v>12</v>
      </c>
      <c r="K175" t="s">
        <v>19</v>
      </c>
      <c r="L175">
        <v>1</v>
      </c>
      <c r="M175" t="s">
        <v>31</v>
      </c>
      <c r="N175" t="s">
        <v>41</v>
      </c>
      <c r="O175">
        <v>1</v>
      </c>
    </row>
    <row r="176" spans="1:15" x14ac:dyDescent="0.2">
      <c r="A176" t="s">
        <v>209</v>
      </c>
      <c r="B176" s="1">
        <v>46050.25</v>
      </c>
      <c r="C176" t="s">
        <v>11</v>
      </c>
      <c r="D176" t="s">
        <v>16</v>
      </c>
      <c r="E176" t="s">
        <v>13</v>
      </c>
      <c r="F176">
        <v>2</v>
      </c>
      <c r="G176" t="s">
        <v>24</v>
      </c>
      <c r="H176">
        <v>8.1999999999999993</v>
      </c>
      <c r="I176">
        <v>18.5</v>
      </c>
      <c r="J176">
        <v>10</v>
      </c>
      <c r="K176" t="s">
        <v>15</v>
      </c>
      <c r="L176">
        <v>0</v>
      </c>
      <c r="M176" t="s">
        <v>31</v>
      </c>
      <c r="N176" t="s">
        <v>32</v>
      </c>
      <c r="O176">
        <v>1</v>
      </c>
    </row>
    <row r="177" spans="1:15" x14ac:dyDescent="0.2">
      <c r="A177" t="s">
        <v>210</v>
      </c>
      <c r="B177" s="1">
        <v>46005.958333333336</v>
      </c>
      <c r="C177" t="s">
        <v>20</v>
      </c>
      <c r="D177" t="s">
        <v>16</v>
      </c>
      <c r="E177" t="s">
        <v>21</v>
      </c>
      <c r="F177">
        <v>3</v>
      </c>
      <c r="G177" t="s">
        <v>26</v>
      </c>
      <c r="H177">
        <v>5.6</v>
      </c>
      <c r="I177">
        <v>14.1</v>
      </c>
      <c r="J177">
        <v>12</v>
      </c>
      <c r="K177" t="s">
        <v>15</v>
      </c>
      <c r="L177">
        <v>0</v>
      </c>
      <c r="M177" t="s">
        <v>31</v>
      </c>
      <c r="N177" t="s">
        <v>32</v>
      </c>
      <c r="O177">
        <v>1</v>
      </c>
    </row>
    <row r="178" spans="1:15" x14ac:dyDescent="0.2">
      <c r="A178" t="s">
        <v>211</v>
      </c>
      <c r="B178" s="1">
        <v>46002.916666666664</v>
      </c>
      <c r="C178" t="s">
        <v>11</v>
      </c>
      <c r="D178" t="s">
        <v>17</v>
      </c>
      <c r="E178" t="s">
        <v>13</v>
      </c>
      <c r="F178">
        <v>5</v>
      </c>
      <c r="G178" t="s">
        <v>14</v>
      </c>
      <c r="H178">
        <v>7.7</v>
      </c>
      <c r="I178">
        <v>16.3</v>
      </c>
      <c r="J178">
        <v>9</v>
      </c>
      <c r="K178" t="s">
        <v>15</v>
      </c>
      <c r="L178">
        <v>0</v>
      </c>
      <c r="M178" t="s">
        <v>31</v>
      </c>
      <c r="N178" t="s">
        <v>32</v>
      </c>
      <c r="O178">
        <v>1</v>
      </c>
    </row>
    <row r="179" spans="1:15" x14ac:dyDescent="0.2">
      <c r="A179" t="s">
        <v>212</v>
      </c>
      <c r="B179" s="1">
        <v>46028.125</v>
      </c>
      <c r="C179" t="s">
        <v>11</v>
      </c>
      <c r="D179" t="s">
        <v>12</v>
      </c>
      <c r="E179" t="s">
        <v>25</v>
      </c>
      <c r="F179">
        <v>5</v>
      </c>
      <c r="G179" t="s">
        <v>14</v>
      </c>
      <c r="H179">
        <v>0.8</v>
      </c>
      <c r="I179">
        <v>7.3</v>
      </c>
      <c r="J179">
        <v>11</v>
      </c>
      <c r="K179" t="s">
        <v>19</v>
      </c>
      <c r="L179">
        <v>1</v>
      </c>
      <c r="M179" t="s">
        <v>31</v>
      </c>
      <c r="N179" t="s">
        <v>41</v>
      </c>
      <c r="O179">
        <v>1</v>
      </c>
    </row>
    <row r="180" spans="1:15" x14ac:dyDescent="0.2">
      <c r="A180" t="s">
        <v>213</v>
      </c>
      <c r="B180" s="1">
        <v>46007.25</v>
      </c>
      <c r="C180" t="s">
        <v>11</v>
      </c>
      <c r="D180" t="s">
        <v>17</v>
      </c>
      <c r="E180" t="s">
        <v>25</v>
      </c>
      <c r="F180">
        <v>5</v>
      </c>
      <c r="G180" t="s">
        <v>14</v>
      </c>
      <c r="H180">
        <v>0.8</v>
      </c>
      <c r="I180">
        <v>1</v>
      </c>
      <c r="J180">
        <v>11</v>
      </c>
      <c r="K180" t="s">
        <v>19</v>
      </c>
      <c r="L180">
        <v>1</v>
      </c>
      <c r="M180" t="s">
        <v>31</v>
      </c>
      <c r="N180" t="s">
        <v>41</v>
      </c>
      <c r="O180">
        <v>1</v>
      </c>
    </row>
    <row r="181" spans="1:15" x14ac:dyDescent="0.2">
      <c r="A181" t="s">
        <v>214</v>
      </c>
      <c r="B181" s="1">
        <v>46015.583333333336</v>
      </c>
      <c r="C181" t="s">
        <v>20</v>
      </c>
      <c r="D181" t="s">
        <v>16</v>
      </c>
      <c r="E181" t="s">
        <v>23</v>
      </c>
      <c r="F181">
        <v>5</v>
      </c>
      <c r="G181" t="s">
        <v>14</v>
      </c>
      <c r="H181">
        <v>3.8</v>
      </c>
      <c r="I181">
        <v>16.5</v>
      </c>
      <c r="J181">
        <v>9</v>
      </c>
      <c r="K181" t="s">
        <v>19</v>
      </c>
      <c r="L181">
        <v>1</v>
      </c>
      <c r="M181" t="s">
        <v>31</v>
      </c>
      <c r="N181" t="s">
        <v>35</v>
      </c>
      <c r="O181">
        <v>1</v>
      </c>
    </row>
    <row r="182" spans="1:15" x14ac:dyDescent="0.2">
      <c r="A182" t="s">
        <v>215</v>
      </c>
      <c r="B182" s="1">
        <v>46048.75</v>
      </c>
      <c r="C182" t="s">
        <v>11</v>
      </c>
      <c r="D182" t="s">
        <v>17</v>
      </c>
      <c r="E182" t="s">
        <v>23</v>
      </c>
      <c r="F182">
        <v>2</v>
      </c>
      <c r="G182" t="s">
        <v>24</v>
      </c>
      <c r="H182">
        <v>5.5</v>
      </c>
      <c r="I182">
        <v>1</v>
      </c>
      <c r="J182">
        <v>11</v>
      </c>
      <c r="K182" t="s">
        <v>15</v>
      </c>
      <c r="L182">
        <v>0</v>
      </c>
      <c r="M182" t="s">
        <v>31</v>
      </c>
      <c r="N182" t="s">
        <v>32</v>
      </c>
      <c r="O182">
        <v>1</v>
      </c>
    </row>
    <row r="183" spans="1:15" x14ac:dyDescent="0.2">
      <c r="A183" t="s">
        <v>216</v>
      </c>
      <c r="B183" s="1">
        <v>45996.083333333336</v>
      </c>
      <c r="C183" t="s">
        <v>20</v>
      </c>
      <c r="D183" t="s">
        <v>12</v>
      </c>
      <c r="E183" t="s">
        <v>13</v>
      </c>
      <c r="F183">
        <v>4</v>
      </c>
      <c r="G183" t="s">
        <v>14</v>
      </c>
      <c r="H183">
        <v>8.6999999999999993</v>
      </c>
      <c r="I183">
        <v>10</v>
      </c>
      <c r="J183">
        <v>11</v>
      </c>
      <c r="K183" t="s">
        <v>15</v>
      </c>
      <c r="L183">
        <v>0</v>
      </c>
      <c r="M183" t="s">
        <v>31</v>
      </c>
      <c r="N183" t="s">
        <v>32</v>
      </c>
      <c r="O183">
        <v>1</v>
      </c>
    </row>
    <row r="184" spans="1:15" x14ac:dyDescent="0.2">
      <c r="A184" t="s">
        <v>217</v>
      </c>
      <c r="B184" s="1">
        <v>46041.708333333336</v>
      </c>
      <c r="C184" t="s">
        <v>11</v>
      </c>
      <c r="D184" t="s">
        <v>16</v>
      </c>
      <c r="E184" t="s">
        <v>13</v>
      </c>
      <c r="F184">
        <v>4</v>
      </c>
      <c r="G184" t="s">
        <v>14</v>
      </c>
      <c r="H184">
        <v>6</v>
      </c>
      <c r="I184">
        <v>20</v>
      </c>
      <c r="J184">
        <v>10</v>
      </c>
      <c r="K184" t="s">
        <v>15</v>
      </c>
      <c r="L184">
        <v>0</v>
      </c>
      <c r="M184" t="s">
        <v>31</v>
      </c>
      <c r="N184" t="s">
        <v>32</v>
      </c>
      <c r="O184">
        <v>1</v>
      </c>
    </row>
    <row r="185" spans="1:15" x14ac:dyDescent="0.2">
      <c r="A185" t="s">
        <v>218</v>
      </c>
      <c r="B185" s="1">
        <v>46048.5</v>
      </c>
      <c r="C185" t="s">
        <v>11</v>
      </c>
      <c r="D185" t="s">
        <v>17</v>
      </c>
      <c r="E185" t="s">
        <v>23</v>
      </c>
      <c r="F185">
        <v>3</v>
      </c>
      <c r="G185" t="s">
        <v>26</v>
      </c>
      <c r="H185">
        <v>3.6</v>
      </c>
      <c r="I185">
        <v>14</v>
      </c>
      <c r="J185">
        <v>10</v>
      </c>
      <c r="K185" t="s">
        <v>19</v>
      </c>
      <c r="L185">
        <v>1</v>
      </c>
      <c r="M185" t="s">
        <v>31</v>
      </c>
      <c r="N185" t="s">
        <v>35</v>
      </c>
      <c r="O185">
        <v>1</v>
      </c>
    </row>
    <row r="186" spans="1:15" x14ac:dyDescent="0.2">
      <c r="A186" t="s">
        <v>219</v>
      </c>
      <c r="B186" s="1">
        <v>46065.125</v>
      </c>
      <c r="C186" t="s">
        <v>11</v>
      </c>
      <c r="D186" t="s">
        <v>12</v>
      </c>
      <c r="E186" t="s">
        <v>25</v>
      </c>
      <c r="F186">
        <v>4</v>
      </c>
      <c r="G186" t="s">
        <v>14</v>
      </c>
      <c r="H186">
        <v>1.6</v>
      </c>
      <c r="I186">
        <v>28.1</v>
      </c>
      <c r="J186">
        <v>11</v>
      </c>
      <c r="K186" t="s">
        <v>19</v>
      </c>
      <c r="L186">
        <v>1</v>
      </c>
      <c r="M186" t="s">
        <v>55</v>
      </c>
      <c r="N186" t="s">
        <v>35</v>
      </c>
      <c r="O186">
        <v>1</v>
      </c>
    </row>
    <row r="187" spans="1:15" x14ac:dyDescent="0.2">
      <c r="A187" t="s">
        <v>220</v>
      </c>
      <c r="B187" s="1">
        <v>45999.625</v>
      </c>
      <c r="C187" t="s">
        <v>11</v>
      </c>
      <c r="D187" t="s">
        <v>17</v>
      </c>
      <c r="E187" t="s">
        <v>18</v>
      </c>
      <c r="F187">
        <v>4</v>
      </c>
      <c r="G187" t="s">
        <v>14</v>
      </c>
      <c r="H187">
        <v>7.3</v>
      </c>
      <c r="I187">
        <v>20.7</v>
      </c>
      <c r="J187">
        <v>10</v>
      </c>
      <c r="K187" t="s">
        <v>15</v>
      </c>
      <c r="L187">
        <v>0</v>
      </c>
      <c r="M187" t="s">
        <v>31</v>
      </c>
      <c r="N187" t="s">
        <v>32</v>
      </c>
      <c r="O187">
        <v>1</v>
      </c>
    </row>
    <row r="188" spans="1:15" x14ac:dyDescent="0.2">
      <c r="A188" t="s">
        <v>221</v>
      </c>
      <c r="B188" s="1">
        <v>46023.583333333336</v>
      </c>
      <c r="C188" t="s">
        <v>11</v>
      </c>
      <c r="D188" t="s">
        <v>16</v>
      </c>
      <c r="E188" t="s">
        <v>21</v>
      </c>
      <c r="F188">
        <v>4</v>
      </c>
      <c r="G188" t="s">
        <v>14</v>
      </c>
      <c r="H188">
        <v>1.8</v>
      </c>
      <c r="I188">
        <v>7.3</v>
      </c>
      <c r="J188">
        <v>9</v>
      </c>
      <c r="K188" t="s">
        <v>19</v>
      </c>
      <c r="L188">
        <v>1</v>
      </c>
      <c r="M188" t="s">
        <v>31</v>
      </c>
      <c r="N188" t="s">
        <v>35</v>
      </c>
      <c r="O188">
        <v>1</v>
      </c>
    </row>
    <row r="189" spans="1:15" x14ac:dyDescent="0.2">
      <c r="A189" t="s">
        <v>222</v>
      </c>
      <c r="B189" s="1">
        <v>46073</v>
      </c>
      <c r="C189" t="s">
        <v>11</v>
      </c>
      <c r="D189" t="s">
        <v>12</v>
      </c>
      <c r="E189" t="s">
        <v>21</v>
      </c>
      <c r="F189">
        <v>4</v>
      </c>
      <c r="G189" t="s">
        <v>14</v>
      </c>
      <c r="H189">
        <v>8.3000000000000007</v>
      </c>
      <c r="I189">
        <v>12.7</v>
      </c>
      <c r="J189">
        <v>10</v>
      </c>
      <c r="K189" t="s">
        <v>15</v>
      </c>
      <c r="L189">
        <v>0</v>
      </c>
      <c r="M189" t="s">
        <v>31</v>
      </c>
      <c r="N189" t="s">
        <v>32</v>
      </c>
      <c r="O189">
        <v>1</v>
      </c>
    </row>
    <row r="190" spans="1:15" x14ac:dyDescent="0.2">
      <c r="A190" t="s">
        <v>223</v>
      </c>
      <c r="B190" s="1">
        <v>46023.208333333336</v>
      </c>
      <c r="C190" t="s">
        <v>11</v>
      </c>
      <c r="D190" t="s">
        <v>12</v>
      </c>
      <c r="E190" t="s">
        <v>21</v>
      </c>
      <c r="F190">
        <v>5</v>
      </c>
      <c r="G190" t="s">
        <v>14</v>
      </c>
      <c r="H190">
        <v>3.5</v>
      </c>
      <c r="I190">
        <v>12.1</v>
      </c>
      <c r="J190">
        <v>10</v>
      </c>
      <c r="K190" t="s">
        <v>19</v>
      </c>
      <c r="L190">
        <v>1</v>
      </c>
      <c r="M190" t="s">
        <v>31</v>
      </c>
      <c r="N190" t="s">
        <v>35</v>
      </c>
      <c r="O190">
        <v>1</v>
      </c>
    </row>
    <row r="191" spans="1:15" x14ac:dyDescent="0.2">
      <c r="A191" t="s">
        <v>224</v>
      </c>
      <c r="B191" s="1">
        <v>46009.875</v>
      </c>
      <c r="C191" t="s">
        <v>11</v>
      </c>
      <c r="D191" t="s">
        <v>16</v>
      </c>
      <c r="E191" t="s">
        <v>25</v>
      </c>
      <c r="F191">
        <v>5</v>
      </c>
      <c r="G191" t="s">
        <v>14</v>
      </c>
      <c r="H191">
        <v>8.1999999999999993</v>
      </c>
      <c r="I191">
        <v>1</v>
      </c>
      <c r="J191">
        <v>10</v>
      </c>
      <c r="K191" t="s">
        <v>15</v>
      </c>
      <c r="L191">
        <v>0</v>
      </c>
      <c r="M191" t="s">
        <v>31</v>
      </c>
      <c r="N191" t="s">
        <v>32</v>
      </c>
      <c r="O191">
        <v>1</v>
      </c>
    </row>
    <row r="192" spans="1:15" x14ac:dyDescent="0.2">
      <c r="A192" t="s">
        <v>225</v>
      </c>
      <c r="B192" s="1">
        <v>46072.291666666664</v>
      </c>
      <c r="C192" t="s">
        <v>20</v>
      </c>
      <c r="D192" t="s">
        <v>12</v>
      </c>
      <c r="E192" t="s">
        <v>13</v>
      </c>
      <c r="F192">
        <v>4</v>
      </c>
      <c r="G192" t="s">
        <v>14</v>
      </c>
      <c r="H192">
        <v>5.9</v>
      </c>
      <c r="I192">
        <v>5</v>
      </c>
      <c r="J192">
        <v>12</v>
      </c>
      <c r="K192" t="s">
        <v>15</v>
      </c>
      <c r="L192">
        <v>0</v>
      </c>
      <c r="M192" t="s">
        <v>31</v>
      </c>
      <c r="N192" t="s">
        <v>32</v>
      </c>
      <c r="O192">
        <v>1</v>
      </c>
    </row>
    <row r="193" spans="1:15" x14ac:dyDescent="0.2">
      <c r="A193" t="s">
        <v>226</v>
      </c>
      <c r="B193" s="1">
        <v>46054.333333333336</v>
      </c>
      <c r="C193" t="s">
        <v>11</v>
      </c>
      <c r="D193" t="s">
        <v>16</v>
      </c>
      <c r="E193" t="s">
        <v>18</v>
      </c>
      <c r="F193">
        <v>5</v>
      </c>
      <c r="G193" t="s">
        <v>14</v>
      </c>
      <c r="H193">
        <v>3.9</v>
      </c>
      <c r="I193">
        <v>8</v>
      </c>
      <c r="J193">
        <v>9</v>
      </c>
      <c r="K193" t="s">
        <v>19</v>
      </c>
      <c r="L193">
        <v>1</v>
      </c>
      <c r="M193" t="s">
        <v>31</v>
      </c>
      <c r="N193" t="s">
        <v>35</v>
      </c>
      <c r="O193">
        <v>1</v>
      </c>
    </row>
    <row r="194" spans="1:15" x14ac:dyDescent="0.2">
      <c r="A194" t="s">
        <v>227</v>
      </c>
      <c r="B194" s="1">
        <v>46048.833333333336</v>
      </c>
      <c r="C194" t="s">
        <v>11</v>
      </c>
      <c r="D194" t="s">
        <v>12</v>
      </c>
      <c r="E194" t="s">
        <v>25</v>
      </c>
      <c r="F194">
        <v>5</v>
      </c>
      <c r="G194" t="s">
        <v>14</v>
      </c>
      <c r="H194">
        <v>2.9</v>
      </c>
      <c r="I194">
        <v>1</v>
      </c>
      <c r="J194">
        <v>11</v>
      </c>
      <c r="K194" t="s">
        <v>19</v>
      </c>
      <c r="L194">
        <v>1</v>
      </c>
      <c r="M194" t="s">
        <v>31</v>
      </c>
      <c r="N194" t="s">
        <v>35</v>
      </c>
      <c r="O194">
        <v>1</v>
      </c>
    </row>
    <row r="195" spans="1:15" x14ac:dyDescent="0.2">
      <c r="A195" t="s">
        <v>228</v>
      </c>
      <c r="B195" s="1">
        <v>46037.916666666664</v>
      </c>
      <c r="C195" t="s">
        <v>11</v>
      </c>
      <c r="D195" t="s">
        <v>16</v>
      </c>
      <c r="E195" t="s">
        <v>25</v>
      </c>
      <c r="F195">
        <v>4</v>
      </c>
      <c r="G195" t="s">
        <v>14</v>
      </c>
      <c r="H195">
        <v>3.3</v>
      </c>
      <c r="I195">
        <v>12.9</v>
      </c>
      <c r="J195">
        <v>11</v>
      </c>
      <c r="K195" t="s">
        <v>19</v>
      </c>
      <c r="L195">
        <v>1</v>
      </c>
      <c r="M195" t="s">
        <v>31</v>
      </c>
      <c r="N195" t="s">
        <v>35</v>
      </c>
      <c r="O195">
        <v>1</v>
      </c>
    </row>
    <row r="196" spans="1:15" x14ac:dyDescent="0.2">
      <c r="A196" t="s">
        <v>229</v>
      </c>
      <c r="B196" s="1">
        <v>46050.541666666664</v>
      </c>
      <c r="C196" t="s">
        <v>11</v>
      </c>
      <c r="D196" t="s">
        <v>12</v>
      </c>
      <c r="E196" t="s">
        <v>13</v>
      </c>
      <c r="F196">
        <v>4</v>
      </c>
      <c r="G196" t="s">
        <v>14</v>
      </c>
      <c r="H196">
        <v>5.3</v>
      </c>
      <c r="I196">
        <v>10.5</v>
      </c>
      <c r="J196">
        <v>12</v>
      </c>
      <c r="K196" t="s">
        <v>15</v>
      </c>
      <c r="L196">
        <v>0</v>
      </c>
      <c r="M196" t="s">
        <v>31</v>
      </c>
      <c r="N196" t="s">
        <v>32</v>
      </c>
      <c r="O196">
        <v>1</v>
      </c>
    </row>
    <row r="197" spans="1:15" x14ac:dyDescent="0.2">
      <c r="A197" t="s">
        <v>230</v>
      </c>
      <c r="B197" s="1">
        <v>46045.791666666664</v>
      </c>
      <c r="C197" t="s">
        <v>11</v>
      </c>
      <c r="D197" t="s">
        <v>17</v>
      </c>
      <c r="E197" t="s">
        <v>23</v>
      </c>
      <c r="F197">
        <v>4</v>
      </c>
      <c r="G197" t="s">
        <v>14</v>
      </c>
      <c r="H197">
        <v>4.4000000000000004</v>
      </c>
      <c r="I197">
        <v>1</v>
      </c>
      <c r="J197">
        <v>10</v>
      </c>
      <c r="K197" t="s">
        <v>15</v>
      </c>
      <c r="L197">
        <v>0</v>
      </c>
      <c r="M197" t="s">
        <v>31</v>
      </c>
      <c r="N197" t="s">
        <v>32</v>
      </c>
      <c r="O197">
        <v>1</v>
      </c>
    </row>
    <row r="198" spans="1:15" x14ac:dyDescent="0.2">
      <c r="A198" t="s">
        <v>231</v>
      </c>
      <c r="B198" s="1">
        <v>46025.291666666664</v>
      </c>
      <c r="C198" t="s">
        <v>11</v>
      </c>
      <c r="D198" t="s">
        <v>17</v>
      </c>
      <c r="E198" t="s">
        <v>23</v>
      </c>
      <c r="F198">
        <v>5</v>
      </c>
      <c r="G198" t="s">
        <v>14</v>
      </c>
      <c r="H198">
        <v>2.7</v>
      </c>
      <c r="I198">
        <v>15.7</v>
      </c>
      <c r="J198">
        <v>9</v>
      </c>
      <c r="K198" t="s">
        <v>19</v>
      </c>
      <c r="L198">
        <v>1</v>
      </c>
      <c r="M198" t="s">
        <v>31</v>
      </c>
      <c r="N198" t="s">
        <v>35</v>
      </c>
      <c r="O198">
        <v>1</v>
      </c>
    </row>
    <row r="199" spans="1:15" x14ac:dyDescent="0.2">
      <c r="A199" t="s">
        <v>232</v>
      </c>
      <c r="B199" s="1">
        <v>46043.208333333336</v>
      </c>
      <c r="C199" t="s">
        <v>11</v>
      </c>
      <c r="D199" t="s">
        <v>17</v>
      </c>
      <c r="E199" t="s">
        <v>21</v>
      </c>
      <c r="F199">
        <v>5</v>
      </c>
      <c r="G199" t="s">
        <v>14</v>
      </c>
      <c r="H199">
        <v>3.8</v>
      </c>
      <c r="I199">
        <v>18.2</v>
      </c>
      <c r="J199">
        <v>9</v>
      </c>
      <c r="K199" t="s">
        <v>19</v>
      </c>
      <c r="L199">
        <v>1</v>
      </c>
      <c r="M199" t="s">
        <v>31</v>
      </c>
      <c r="N199" t="s">
        <v>35</v>
      </c>
      <c r="O199">
        <v>1</v>
      </c>
    </row>
    <row r="200" spans="1:15" x14ac:dyDescent="0.2">
      <c r="A200" t="s">
        <v>233</v>
      </c>
      <c r="B200" s="1">
        <v>45998.333333333336</v>
      </c>
      <c r="C200" t="s">
        <v>11</v>
      </c>
      <c r="D200" t="s">
        <v>16</v>
      </c>
      <c r="E200" t="s">
        <v>23</v>
      </c>
      <c r="F200">
        <v>2</v>
      </c>
      <c r="G200" t="s">
        <v>24</v>
      </c>
      <c r="H200">
        <v>4.4000000000000004</v>
      </c>
      <c r="I200">
        <v>14.3</v>
      </c>
      <c r="J200">
        <v>11</v>
      </c>
      <c r="K200" t="s">
        <v>15</v>
      </c>
      <c r="L200">
        <v>0</v>
      </c>
      <c r="M200" t="s">
        <v>31</v>
      </c>
      <c r="N200" t="s">
        <v>32</v>
      </c>
      <c r="O200">
        <v>1</v>
      </c>
    </row>
    <row r="201" spans="1:15" x14ac:dyDescent="0.2">
      <c r="A201" t="s">
        <v>234</v>
      </c>
      <c r="B201" s="1">
        <v>46080.125</v>
      </c>
      <c r="C201" t="s">
        <v>11</v>
      </c>
      <c r="D201" t="s">
        <v>12</v>
      </c>
      <c r="E201" t="s">
        <v>23</v>
      </c>
      <c r="F201">
        <v>4</v>
      </c>
      <c r="G201" t="s">
        <v>14</v>
      </c>
      <c r="H201">
        <v>0.1</v>
      </c>
      <c r="I201">
        <v>9.9</v>
      </c>
      <c r="J201">
        <v>12</v>
      </c>
      <c r="K201" t="s">
        <v>19</v>
      </c>
      <c r="L201">
        <v>1</v>
      </c>
      <c r="M201" t="s">
        <v>31</v>
      </c>
      <c r="N201" t="s">
        <v>41</v>
      </c>
      <c r="O201">
        <v>1</v>
      </c>
    </row>
    <row r="202" spans="1:15" x14ac:dyDescent="0.2">
      <c r="A202" t="s">
        <v>235</v>
      </c>
      <c r="B202" s="1">
        <v>46011.625</v>
      </c>
      <c r="C202" t="s">
        <v>11</v>
      </c>
      <c r="D202" t="s">
        <v>17</v>
      </c>
      <c r="E202" t="s">
        <v>18</v>
      </c>
      <c r="F202">
        <v>5</v>
      </c>
      <c r="G202" t="s">
        <v>14</v>
      </c>
      <c r="H202">
        <v>5.3</v>
      </c>
      <c r="I202">
        <v>17.2</v>
      </c>
      <c r="J202">
        <v>12</v>
      </c>
      <c r="K202" t="s">
        <v>15</v>
      </c>
      <c r="L202">
        <v>0</v>
      </c>
      <c r="M202" t="s">
        <v>31</v>
      </c>
      <c r="N202" t="s">
        <v>32</v>
      </c>
      <c r="O202">
        <v>1</v>
      </c>
    </row>
    <row r="203" spans="1:15" x14ac:dyDescent="0.2">
      <c r="A203" t="s">
        <v>236</v>
      </c>
      <c r="B203" s="1">
        <v>45997.875</v>
      </c>
      <c r="C203" t="s">
        <v>20</v>
      </c>
      <c r="D203" t="s">
        <v>12</v>
      </c>
      <c r="E203" t="s">
        <v>13</v>
      </c>
      <c r="F203">
        <v>4</v>
      </c>
      <c r="G203" t="s">
        <v>14</v>
      </c>
      <c r="H203">
        <v>1.8</v>
      </c>
      <c r="I203">
        <v>17.899999999999999</v>
      </c>
      <c r="J203">
        <v>12</v>
      </c>
      <c r="K203" t="s">
        <v>19</v>
      </c>
      <c r="L203">
        <v>1</v>
      </c>
      <c r="M203" t="s">
        <v>31</v>
      </c>
      <c r="N203" t="s">
        <v>35</v>
      </c>
      <c r="O203">
        <v>1</v>
      </c>
    </row>
    <row r="204" spans="1:15" x14ac:dyDescent="0.2">
      <c r="A204" t="s">
        <v>237</v>
      </c>
      <c r="B204" s="1">
        <v>46064.666666666664</v>
      </c>
      <c r="C204" t="s">
        <v>20</v>
      </c>
      <c r="D204" t="s">
        <v>12</v>
      </c>
      <c r="E204" t="s">
        <v>23</v>
      </c>
      <c r="F204">
        <v>3</v>
      </c>
      <c r="G204" t="s">
        <v>26</v>
      </c>
      <c r="H204">
        <v>1.3</v>
      </c>
      <c r="I204">
        <v>15</v>
      </c>
      <c r="J204">
        <v>12</v>
      </c>
      <c r="K204" t="s">
        <v>19</v>
      </c>
      <c r="L204">
        <v>1</v>
      </c>
      <c r="M204" t="s">
        <v>31</v>
      </c>
      <c r="N204" t="s">
        <v>35</v>
      </c>
      <c r="O204">
        <v>1</v>
      </c>
    </row>
    <row r="205" spans="1:15" x14ac:dyDescent="0.2">
      <c r="A205" t="s">
        <v>238</v>
      </c>
      <c r="B205" s="1">
        <v>46067.875</v>
      </c>
      <c r="C205" t="s">
        <v>11</v>
      </c>
      <c r="D205" t="s">
        <v>12</v>
      </c>
      <c r="E205" t="s">
        <v>13</v>
      </c>
      <c r="F205">
        <v>5</v>
      </c>
      <c r="G205" t="s">
        <v>14</v>
      </c>
      <c r="H205">
        <v>0.1</v>
      </c>
      <c r="I205">
        <v>5.9</v>
      </c>
      <c r="J205">
        <v>9</v>
      </c>
      <c r="K205" t="s">
        <v>19</v>
      </c>
      <c r="L205">
        <v>1</v>
      </c>
      <c r="M205" t="s">
        <v>31</v>
      </c>
      <c r="N205" t="s">
        <v>41</v>
      </c>
      <c r="O205">
        <v>1</v>
      </c>
    </row>
    <row r="206" spans="1:15" x14ac:dyDescent="0.2">
      <c r="A206" t="s">
        <v>239</v>
      </c>
      <c r="B206" s="1">
        <v>46011.833333333336</v>
      </c>
      <c r="C206" t="s">
        <v>11</v>
      </c>
      <c r="D206" t="s">
        <v>16</v>
      </c>
      <c r="E206" t="s">
        <v>25</v>
      </c>
      <c r="F206">
        <v>5</v>
      </c>
      <c r="G206" t="s">
        <v>14</v>
      </c>
      <c r="H206">
        <v>0.1</v>
      </c>
      <c r="I206">
        <v>14.7</v>
      </c>
      <c r="J206">
        <v>10</v>
      </c>
      <c r="K206" t="s">
        <v>19</v>
      </c>
      <c r="L206">
        <v>1</v>
      </c>
      <c r="M206" t="s">
        <v>31</v>
      </c>
      <c r="N206" t="s">
        <v>41</v>
      </c>
      <c r="O206">
        <v>1</v>
      </c>
    </row>
    <row r="207" spans="1:15" x14ac:dyDescent="0.2">
      <c r="A207" t="s">
        <v>240</v>
      </c>
      <c r="B207" s="1">
        <v>46047.625</v>
      </c>
      <c r="C207" t="s">
        <v>22</v>
      </c>
      <c r="D207" t="s">
        <v>17</v>
      </c>
      <c r="E207" t="s">
        <v>18</v>
      </c>
      <c r="F207">
        <v>5</v>
      </c>
      <c r="G207" t="s">
        <v>14</v>
      </c>
      <c r="H207">
        <v>0.8</v>
      </c>
      <c r="I207">
        <v>22.1</v>
      </c>
      <c r="J207">
        <v>11</v>
      </c>
      <c r="K207" t="s">
        <v>19</v>
      </c>
      <c r="L207">
        <v>1</v>
      </c>
      <c r="M207" t="s">
        <v>31</v>
      </c>
      <c r="N207" t="s">
        <v>41</v>
      </c>
      <c r="O207">
        <v>1</v>
      </c>
    </row>
    <row r="208" spans="1:15" x14ac:dyDescent="0.2">
      <c r="A208" t="s">
        <v>241</v>
      </c>
      <c r="B208" s="1">
        <v>46004.75</v>
      </c>
      <c r="C208" t="s">
        <v>20</v>
      </c>
      <c r="D208" t="s">
        <v>16</v>
      </c>
      <c r="E208" t="s">
        <v>13</v>
      </c>
      <c r="F208">
        <v>5</v>
      </c>
      <c r="G208" t="s">
        <v>14</v>
      </c>
      <c r="H208">
        <v>2.4</v>
      </c>
      <c r="I208">
        <v>7.7</v>
      </c>
      <c r="J208">
        <v>9</v>
      </c>
      <c r="K208" t="s">
        <v>19</v>
      </c>
      <c r="L208">
        <v>1</v>
      </c>
      <c r="M208" t="s">
        <v>31</v>
      </c>
      <c r="N208" t="s">
        <v>35</v>
      </c>
      <c r="O208">
        <v>1</v>
      </c>
    </row>
    <row r="209" spans="1:15" x14ac:dyDescent="0.2">
      <c r="A209" t="s">
        <v>242</v>
      </c>
      <c r="B209" s="1">
        <v>46038.75</v>
      </c>
      <c r="C209" t="s">
        <v>11</v>
      </c>
      <c r="D209" t="s">
        <v>16</v>
      </c>
      <c r="E209" t="s">
        <v>21</v>
      </c>
      <c r="F209">
        <v>5</v>
      </c>
      <c r="G209" t="s">
        <v>14</v>
      </c>
      <c r="H209">
        <v>9.1</v>
      </c>
      <c r="I209">
        <v>29.3</v>
      </c>
      <c r="J209">
        <v>12</v>
      </c>
      <c r="K209" t="s">
        <v>15</v>
      </c>
      <c r="L209">
        <v>0</v>
      </c>
      <c r="M209" t="s">
        <v>55</v>
      </c>
      <c r="N209" t="s">
        <v>32</v>
      </c>
      <c r="O209">
        <v>1</v>
      </c>
    </row>
    <row r="210" spans="1:15" x14ac:dyDescent="0.2">
      <c r="A210" t="s">
        <v>243</v>
      </c>
      <c r="B210" s="1">
        <v>45994.166666666664</v>
      </c>
      <c r="C210" t="s">
        <v>22</v>
      </c>
      <c r="D210" t="s">
        <v>12</v>
      </c>
      <c r="E210" t="s">
        <v>13</v>
      </c>
      <c r="F210">
        <v>4</v>
      </c>
      <c r="G210" t="s">
        <v>14</v>
      </c>
      <c r="H210">
        <v>2.9</v>
      </c>
      <c r="I210">
        <v>8.3000000000000007</v>
      </c>
      <c r="J210">
        <v>12</v>
      </c>
      <c r="K210" t="s">
        <v>19</v>
      </c>
      <c r="L210">
        <v>1</v>
      </c>
      <c r="M210" t="s">
        <v>31</v>
      </c>
      <c r="N210" t="s">
        <v>35</v>
      </c>
      <c r="O210">
        <v>1</v>
      </c>
    </row>
    <row r="211" spans="1:15" x14ac:dyDescent="0.2">
      <c r="A211" t="s">
        <v>244</v>
      </c>
      <c r="B211" s="1">
        <v>46048.333333333336</v>
      </c>
      <c r="C211" t="s">
        <v>20</v>
      </c>
      <c r="D211" t="s">
        <v>17</v>
      </c>
      <c r="E211" t="s">
        <v>18</v>
      </c>
      <c r="F211">
        <v>5</v>
      </c>
      <c r="G211" t="s">
        <v>14</v>
      </c>
      <c r="H211">
        <v>4.5999999999999996</v>
      </c>
      <c r="I211">
        <v>12.8</v>
      </c>
      <c r="J211">
        <v>11</v>
      </c>
      <c r="K211" t="s">
        <v>15</v>
      </c>
      <c r="L211">
        <v>0</v>
      </c>
      <c r="M211" t="s">
        <v>31</v>
      </c>
      <c r="N211" t="s">
        <v>32</v>
      </c>
      <c r="O211">
        <v>1</v>
      </c>
    </row>
    <row r="212" spans="1:15" x14ac:dyDescent="0.2">
      <c r="A212" t="s">
        <v>245</v>
      </c>
      <c r="B212" s="1">
        <v>46019.666666666664</v>
      </c>
      <c r="C212" t="s">
        <v>11</v>
      </c>
      <c r="D212" t="s">
        <v>16</v>
      </c>
      <c r="E212" t="s">
        <v>21</v>
      </c>
      <c r="F212">
        <v>3</v>
      </c>
      <c r="G212" t="s">
        <v>26</v>
      </c>
      <c r="H212">
        <v>5.2</v>
      </c>
      <c r="I212">
        <v>7.1</v>
      </c>
      <c r="J212">
        <v>10</v>
      </c>
      <c r="K212" t="s">
        <v>15</v>
      </c>
      <c r="L212">
        <v>0</v>
      </c>
      <c r="M212" t="s">
        <v>31</v>
      </c>
      <c r="N212" t="s">
        <v>32</v>
      </c>
      <c r="O212">
        <v>1</v>
      </c>
    </row>
    <row r="213" spans="1:15" x14ac:dyDescent="0.2">
      <c r="A213" t="s">
        <v>246</v>
      </c>
      <c r="B213" s="1">
        <v>46075.916666666664</v>
      </c>
      <c r="C213" t="s">
        <v>11</v>
      </c>
      <c r="D213" t="s">
        <v>16</v>
      </c>
      <c r="E213" t="s">
        <v>21</v>
      </c>
      <c r="F213">
        <v>5</v>
      </c>
      <c r="G213" t="s">
        <v>14</v>
      </c>
      <c r="H213">
        <v>4.5</v>
      </c>
      <c r="I213">
        <v>14.3</v>
      </c>
      <c r="J213">
        <v>10</v>
      </c>
      <c r="K213" t="s">
        <v>15</v>
      </c>
      <c r="L213">
        <v>0</v>
      </c>
      <c r="M213" t="s">
        <v>31</v>
      </c>
      <c r="N213" t="s">
        <v>32</v>
      </c>
      <c r="O213">
        <v>1</v>
      </c>
    </row>
    <row r="214" spans="1:15" x14ac:dyDescent="0.2">
      <c r="A214" t="s">
        <v>247</v>
      </c>
      <c r="B214" s="1">
        <v>46000.458333333336</v>
      </c>
      <c r="C214" t="s">
        <v>11</v>
      </c>
      <c r="D214" t="s">
        <v>12</v>
      </c>
      <c r="E214" t="s">
        <v>13</v>
      </c>
      <c r="F214">
        <v>3</v>
      </c>
      <c r="G214" t="s">
        <v>26</v>
      </c>
      <c r="H214">
        <v>4</v>
      </c>
      <c r="I214">
        <v>1</v>
      </c>
      <c r="J214">
        <v>10</v>
      </c>
      <c r="K214" t="s">
        <v>15</v>
      </c>
      <c r="L214">
        <v>0</v>
      </c>
      <c r="M214" t="s">
        <v>31</v>
      </c>
      <c r="N214" t="s">
        <v>35</v>
      </c>
      <c r="O214">
        <v>1</v>
      </c>
    </row>
    <row r="215" spans="1:15" x14ac:dyDescent="0.2">
      <c r="A215" t="s">
        <v>248</v>
      </c>
      <c r="B215" s="1">
        <v>46046.958333333336</v>
      </c>
      <c r="C215" t="s">
        <v>11</v>
      </c>
      <c r="D215" t="s">
        <v>17</v>
      </c>
      <c r="E215" t="s">
        <v>18</v>
      </c>
      <c r="F215">
        <v>5</v>
      </c>
      <c r="G215" t="s">
        <v>14</v>
      </c>
      <c r="H215">
        <v>1.2</v>
      </c>
      <c r="I215">
        <v>8.1</v>
      </c>
      <c r="J215">
        <v>12</v>
      </c>
      <c r="K215" t="s">
        <v>19</v>
      </c>
      <c r="L215">
        <v>1</v>
      </c>
      <c r="M215" t="s">
        <v>31</v>
      </c>
      <c r="N215" t="s">
        <v>35</v>
      </c>
      <c r="O215">
        <v>1</v>
      </c>
    </row>
    <row r="216" spans="1:15" x14ac:dyDescent="0.2">
      <c r="A216" t="s">
        <v>249</v>
      </c>
      <c r="B216" s="1">
        <v>46081.583333333336</v>
      </c>
      <c r="C216" t="s">
        <v>11</v>
      </c>
      <c r="D216" t="s">
        <v>16</v>
      </c>
      <c r="E216" t="s">
        <v>25</v>
      </c>
      <c r="F216">
        <v>3</v>
      </c>
      <c r="G216" t="s">
        <v>26</v>
      </c>
      <c r="H216">
        <v>7.8</v>
      </c>
      <c r="I216">
        <v>3.8</v>
      </c>
      <c r="J216">
        <v>9</v>
      </c>
      <c r="K216" t="s">
        <v>15</v>
      </c>
      <c r="L216">
        <v>0</v>
      </c>
      <c r="M216" t="s">
        <v>31</v>
      </c>
      <c r="N216" t="s">
        <v>32</v>
      </c>
      <c r="O216">
        <v>1</v>
      </c>
    </row>
    <row r="217" spans="1:15" x14ac:dyDescent="0.2">
      <c r="A217" t="s">
        <v>250</v>
      </c>
      <c r="B217" s="1">
        <v>46065.166666666664</v>
      </c>
      <c r="C217" t="s">
        <v>11</v>
      </c>
      <c r="D217" t="s">
        <v>12</v>
      </c>
      <c r="E217" t="s">
        <v>23</v>
      </c>
      <c r="F217">
        <v>2</v>
      </c>
      <c r="G217" t="s">
        <v>24</v>
      </c>
      <c r="H217">
        <v>8.6999999999999993</v>
      </c>
      <c r="I217">
        <v>13.6</v>
      </c>
      <c r="J217">
        <v>9</v>
      </c>
      <c r="K217" t="s">
        <v>15</v>
      </c>
      <c r="L217">
        <v>0</v>
      </c>
      <c r="M217" t="s">
        <v>31</v>
      </c>
      <c r="N217" t="s">
        <v>32</v>
      </c>
      <c r="O217">
        <v>1</v>
      </c>
    </row>
    <row r="218" spans="1:15" x14ac:dyDescent="0.2">
      <c r="A218" t="s">
        <v>251</v>
      </c>
      <c r="B218" s="1">
        <v>46048.791666666664</v>
      </c>
      <c r="C218" t="s">
        <v>11</v>
      </c>
      <c r="D218" t="s">
        <v>12</v>
      </c>
      <c r="E218" t="s">
        <v>21</v>
      </c>
      <c r="F218">
        <v>3</v>
      </c>
      <c r="G218" t="s">
        <v>26</v>
      </c>
      <c r="H218">
        <v>0.1</v>
      </c>
      <c r="I218">
        <v>20.5</v>
      </c>
      <c r="J218">
        <v>10</v>
      </c>
      <c r="K218" t="s">
        <v>19</v>
      </c>
      <c r="L218">
        <v>1</v>
      </c>
      <c r="M218" t="s">
        <v>31</v>
      </c>
      <c r="N218" t="s">
        <v>41</v>
      </c>
      <c r="O218">
        <v>1</v>
      </c>
    </row>
    <row r="219" spans="1:15" x14ac:dyDescent="0.2">
      <c r="A219" t="s">
        <v>252</v>
      </c>
      <c r="B219" s="1">
        <v>46025.291666666664</v>
      </c>
      <c r="C219" t="s">
        <v>11</v>
      </c>
      <c r="D219" t="s">
        <v>16</v>
      </c>
      <c r="E219" t="s">
        <v>13</v>
      </c>
      <c r="F219">
        <v>1</v>
      </c>
      <c r="G219" t="s">
        <v>24</v>
      </c>
      <c r="H219">
        <v>1.6</v>
      </c>
      <c r="I219">
        <v>17.7</v>
      </c>
      <c r="J219">
        <v>11</v>
      </c>
      <c r="K219" t="s">
        <v>19</v>
      </c>
      <c r="L219">
        <v>1</v>
      </c>
      <c r="M219" t="s">
        <v>31</v>
      </c>
      <c r="N219" t="s">
        <v>35</v>
      </c>
      <c r="O219">
        <v>1</v>
      </c>
    </row>
    <row r="220" spans="1:15" x14ac:dyDescent="0.2">
      <c r="A220" t="s">
        <v>253</v>
      </c>
      <c r="B220" s="1">
        <v>46027.291666666664</v>
      </c>
      <c r="C220" t="s">
        <v>11</v>
      </c>
      <c r="D220" t="s">
        <v>16</v>
      </c>
      <c r="E220" t="s">
        <v>21</v>
      </c>
      <c r="F220">
        <v>5</v>
      </c>
      <c r="G220" t="s">
        <v>14</v>
      </c>
      <c r="H220">
        <v>3.5</v>
      </c>
      <c r="I220">
        <v>1</v>
      </c>
      <c r="J220">
        <v>10</v>
      </c>
      <c r="K220" t="s">
        <v>19</v>
      </c>
      <c r="L220">
        <v>1</v>
      </c>
      <c r="M220" t="s">
        <v>31</v>
      </c>
      <c r="N220" t="s">
        <v>35</v>
      </c>
      <c r="O220">
        <v>1</v>
      </c>
    </row>
    <row r="221" spans="1:15" x14ac:dyDescent="0.2">
      <c r="A221" t="s">
        <v>254</v>
      </c>
      <c r="B221" s="1">
        <v>46080.875</v>
      </c>
      <c r="C221" t="s">
        <v>11</v>
      </c>
      <c r="D221" t="s">
        <v>12</v>
      </c>
      <c r="E221" t="s">
        <v>13</v>
      </c>
      <c r="F221">
        <v>5</v>
      </c>
      <c r="G221" t="s">
        <v>14</v>
      </c>
      <c r="H221">
        <v>1.8</v>
      </c>
      <c r="I221">
        <v>28.8</v>
      </c>
      <c r="J221">
        <v>10</v>
      </c>
      <c r="K221" t="s">
        <v>19</v>
      </c>
      <c r="L221">
        <v>1</v>
      </c>
      <c r="M221" t="s">
        <v>55</v>
      </c>
      <c r="N221" t="s">
        <v>35</v>
      </c>
      <c r="O221">
        <v>1</v>
      </c>
    </row>
    <row r="222" spans="1:15" x14ac:dyDescent="0.2">
      <c r="A222" t="s">
        <v>255</v>
      </c>
      <c r="B222" s="1">
        <v>46072.083333333336</v>
      </c>
      <c r="C222" t="s">
        <v>11</v>
      </c>
      <c r="D222" t="s">
        <v>17</v>
      </c>
      <c r="E222" t="s">
        <v>25</v>
      </c>
      <c r="F222">
        <v>4</v>
      </c>
      <c r="G222" t="s">
        <v>14</v>
      </c>
      <c r="H222">
        <v>5.5</v>
      </c>
      <c r="I222">
        <v>14.9</v>
      </c>
      <c r="J222">
        <v>11</v>
      </c>
      <c r="K222" t="s">
        <v>15</v>
      </c>
      <c r="L222">
        <v>0</v>
      </c>
      <c r="M222" t="s">
        <v>31</v>
      </c>
      <c r="N222" t="s">
        <v>32</v>
      </c>
      <c r="O222">
        <v>1</v>
      </c>
    </row>
    <row r="223" spans="1:15" x14ac:dyDescent="0.2">
      <c r="A223" t="s">
        <v>256</v>
      </c>
      <c r="B223" s="1">
        <v>46062.291666666664</v>
      </c>
      <c r="C223" t="s">
        <v>11</v>
      </c>
      <c r="D223" t="s">
        <v>12</v>
      </c>
      <c r="E223" t="s">
        <v>23</v>
      </c>
      <c r="F223">
        <v>3</v>
      </c>
      <c r="G223" t="s">
        <v>26</v>
      </c>
      <c r="H223">
        <v>2.4</v>
      </c>
      <c r="I223">
        <v>6.3</v>
      </c>
      <c r="J223">
        <v>10</v>
      </c>
      <c r="K223" t="s">
        <v>19</v>
      </c>
      <c r="L223">
        <v>1</v>
      </c>
      <c r="M223" t="s">
        <v>31</v>
      </c>
      <c r="N223" t="s">
        <v>35</v>
      </c>
      <c r="O223">
        <v>1</v>
      </c>
    </row>
    <row r="224" spans="1:15" x14ac:dyDescent="0.2">
      <c r="A224" t="s">
        <v>257</v>
      </c>
      <c r="B224" s="1">
        <v>46077.541666666664</v>
      </c>
      <c r="C224" t="s">
        <v>20</v>
      </c>
      <c r="D224" t="s">
        <v>16</v>
      </c>
      <c r="E224" t="s">
        <v>13</v>
      </c>
      <c r="F224">
        <v>2</v>
      </c>
      <c r="G224" t="s">
        <v>24</v>
      </c>
      <c r="H224">
        <v>9.6</v>
      </c>
      <c r="I224">
        <v>13.8</v>
      </c>
      <c r="J224">
        <v>11</v>
      </c>
      <c r="K224" t="s">
        <v>15</v>
      </c>
      <c r="L224">
        <v>0</v>
      </c>
      <c r="M224" t="s">
        <v>31</v>
      </c>
      <c r="N224" t="s">
        <v>32</v>
      </c>
      <c r="O224">
        <v>1</v>
      </c>
    </row>
    <row r="225" spans="1:15" x14ac:dyDescent="0.2">
      <c r="A225" t="s">
        <v>258</v>
      </c>
      <c r="B225" s="1">
        <v>46007.291666666664</v>
      </c>
      <c r="C225" t="s">
        <v>11</v>
      </c>
      <c r="D225" t="s">
        <v>17</v>
      </c>
      <c r="E225" t="s">
        <v>13</v>
      </c>
      <c r="F225">
        <v>1</v>
      </c>
      <c r="G225" t="s">
        <v>24</v>
      </c>
      <c r="H225">
        <v>7.2</v>
      </c>
      <c r="I225">
        <v>13.9</v>
      </c>
      <c r="J225">
        <v>11</v>
      </c>
      <c r="K225" t="s">
        <v>15</v>
      </c>
      <c r="L225">
        <v>0</v>
      </c>
      <c r="M225" t="s">
        <v>31</v>
      </c>
      <c r="N225" t="s">
        <v>32</v>
      </c>
      <c r="O225">
        <v>1</v>
      </c>
    </row>
    <row r="226" spans="1:15" x14ac:dyDescent="0.2">
      <c r="A226" t="s">
        <v>259</v>
      </c>
      <c r="B226" s="1">
        <v>46063.458333333336</v>
      </c>
      <c r="C226" t="s">
        <v>11</v>
      </c>
      <c r="D226" t="s">
        <v>16</v>
      </c>
      <c r="E226" t="s">
        <v>13</v>
      </c>
      <c r="F226">
        <v>3</v>
      </c>
      <c r="G226" t="s">
        <v>26</v>
      </c>
      <c r="H226">
        <v>4.7</v>
      </c>
      <c r="I226">
        <v>7.2</v>
      </c>
      <c r="J226">
        <v>9</v>
      </c>
      <c r="K226" t="s">
        <v>15</v>
      </c>
      <c r="L226">
        <v>0</v>
      </c>
      <c r="M226" t="s">
        <v>31</v>
      </c>
      <c r="N226" t="s">
        <v>32</v>
      </c>
      <c r="O226">
        <v>1</v>
      </c>
    </row>
    <row r="227" spans="1:15" x14ac:dyDescent="0.2">
      <c r="A227" t="s">
        <v>260</v>
      </c>
      <c r="B227" s="1">
        <v>46065.958333333336</v>
      </c>
      <c r="C227" t="s">
        <v>11</v>
      </c>
      <c r="D227" t="s">
        <v>16</v>
      </c>
      <c r="E227" t="s">
        <v>23</v>
      </c>
      <c r="F227">
        <v>5</v>
      </c>
      <c r="G227" t="s">
        <v>14</v>
      </c>
      <c r="H227">
        <v>6.8</v>
      </c>
      <c r="I227">
        <v>14.1</v>
      </c>
      <c r="J227">
        <v>11</v>
      </c>
      <c r="K227" t="s">
        <v>15</v>
      </c>
      <c r="L227">
        <v>0</v>
      </c>
      <c r="M227" t="s">
        <v>31</v>
      </c>
      <c r="N227" t="s">
        <v>32</v>
      </c>
      <c r="O227">
        <v>1</v>
      </c>
    </row>
    <row r="228" spans="1:15" x14ac:dyDescent="0.2">
      <c r="A228" t="s">
        <v>261</v>
      </c>
      <c r="B228" s="1">
        <v>46042.541666666664</v>
      </c>
      <c r="C228" t="s">
        <v>11</v>
      </c>
      <c r="D228" t="s">
        <v>12</v>
      </c>
      <c r="E228" t="s">
        <v>23</v>
      </c>
      <c r="F228">
        <v>3</v>
      </c>
      <c r="G228" t="s">
        <v>26</v>
      </c>
      <c r="H228">
        <v>7</v>
      </c>
      <c r="I228">
        <v>7.6</v>
      </c>
      <c r="J228">
        <v>10</v>
      </c>
      <c r="K228" t="s">
        <v>15</v>
      </c>
      <c r="L228">
        <v>0</v>
      </c>
      <c r="M228" t="s">
        <v>31</v>
      </c>
      <c r="N228" t="s">
        <v>32</v>
      </c>
      <c r="O228">
        <v>1</v>
      </c>
    </row>
    <row r="229" spans="1:15" x14ac:dyDescent="0.2">
      <c r="A229" t="s">
        <v>262</v>
      </c>
      <c r="B229" s="1">
        <v>46076.541666666664</v>
      </c>
      <c r="C229" t="s">
        <v>11</v>
      </c>
      <c r="D229" t="s">
        <v>12</v>
      </c>
      <c r="E229" t="s">
        <v>25</v>
      </c>
      <c r="F229">
        <v>4</v>
      </c>
      <c r="G229" t="s">
        <v>14</v>
      </c>
      <c r="H229">
        <v>2.8</v>
      </c>
      <c r="I229">
        <v>9.3000000000000007</v>
      </c>
      <c r="J229">
        <v>11</v>
      </c>
      <c r="K229" t="s">
        <v>19</v>
      </c>
      <c r="L229">
        <v>1</v>
      </c>
      <c r="M229" t="s">
        <v>31</v>
      </c>
      <c r="N229" t="s">
        <v>35</v>
      </c>
      <c r="O229">
        <v>1</v>
      </c>
    </row>
    <row r="230" spans="1:15" x14ac:dyDescent="0.2">
      <c r="A230" t="s">
        <v>263</v>
      </c>
      <c r="B230" s="1">
        <v>46055.125</v>
      </c>
      <c r="C230" t="s">
        <v>11</v>
      </c>
      <c r="D230" t="s">
        <v>17</v>
      </c>
      <c r="E230" t="s">
        <v>13</v>
      </c>
      <c r="F230">
        <v>2</v>
      </c>
      <c r="G230" t="s">
        <v>24</v>
      </c>
      <c r="H230">
        <v>2.2000000000000002</v>
      </c>
      <c r="I230">
        <v>7</v>
      </c>
      <c r="J230">
        <v>10</v>
      </c>
      <c r="K230" t="s">
        <v>19</v>
      </c>
      <c r="L230">
        <v>1</v>
      </c>
      <c r="M230" t="s">
        <v>31</v>
      </c>
      <c r="N230" t="s">
        <v>35</v>
      </c>
      <c r="O230">
        <v>1</v>
      </c>
    </row>
    <row r="231" spans="1:15" x14ac:dyDescent="0.2">
      <c r="A231" t="s">
        <v>264</v>
      </c>
      <c r="B231" s="1">
        <v>46050.125</v>
      </c>
      <c r="C231" t="s">
        <v>11</v>
      </c>
      <c r="D231" t="s">
        <v>12</v>
      </c>
      <c r="E231" t="s">
        <v>13</v>
      </c>
      <c r="F231">
        <v>3</v>
      </c>
      <c r="G231" t="s">
        <v>26</v>
      </c>
      <c r="H231">
        <v>4.4000000000000004</v>
      </c>
      <c r="I231">
        <v>1</v>
      </c>
      <c r="J231">
        <v>11</v>
      </c>
      <c r="K231" t="s">
        <v>15</v>
      </c>
      <c r="L231">
        <v>0</v>
      </c>
      <c r="M231" t="s">
        <v>31</v>
      </c>
      <c r="N231" t="s">
        <v>32</v>
      </c>
      <c r="O231">
        <v>1</v>
      </c>
    </row>
    <row r="232" spans="1:15" x14ac:dyDescent="0.2">
      <c r="A232" t="s">
        <v>265</v>
      </c>
      <c r="B232" s="1">
        <v>46068.541666666664</v>
      </c>
      <c r="C232" t="s">
        <v>11</v>
      </c>
      <c r="D232" t="s">
        <v>17</v>
      </c>
      <c r="E232" t="s">
        <v>25</v>
      </c>
      <c r="F232">
        <v>4</v>
      </c>
      <c r="G232" t="s">
        <v>14</v>
      </c>
      <c r="H232">
        <v>6.4</v>
      </c>
      <c r="I232">
        <v>13.7</v>
      </c>
      <c r="J232">
        <v>9</v>
      </c>
      <c r="K232" t="s">
        <v>15</v>
      </c>
      <c r="L232">
        <v>0</v>
      </c>
      <c r="M232" t="s">
        <v>31</v>
      </c>
      <c r="N232" t="s">
        <v>32</v>
      </c>
      <c r="O232">
        <v>1</v>
      </c>
    </row>
    <row r="233" spans="1:15" x14ac:dyDescent="0.2">
      <c r="A233" t="s">
        <v>266</v>
      </c>
      <c r="B233" s="1">
        <v>46010.458333333336</v>
      </c>
      <c r="C233" t="s">
        <v>11</v>
      </c>
      <c r="D233" t="s">
        <v>12</v>
      </c>
      <c r="E233" t="s">
        <v>13</v>
      </c>
      <c r="F233">
        <v>5</v>
      </c>
      <c r="G233" t="s">
        <v>14</v>
      </c>
      <c r="H233">
        <v>4.5</v>
      </c>
      <c r="I233">
        <v>17.2</v>
      </c>
      <c r="J233">
        <v>10</v>
      </c>
      <c r="K233" t="s">
        <v>15</v>
      </c>
      <c r="L233">
        <v>0</v>
      </c>
      <c r="M233" t="s">
        <v>31</v>
      </c>
      <c r="N233" t="s">
        <v>32</v>
      </c>
      <c r="O233">
        <v>1</v>
      </c>
    </row>
    <row r="234" spans="1:15" x14ac:dyDescent="0.2">
      <c r="A234" t="s">
        <v>267</v>
      </c>
      <c r="B234" s="1">
        <v>46002.041666666664</v>
      </c>
      <c r="C234" t="s">
        <v>11</v>
      </c>
      <c r="D234" t="s">
        <v>12</v>
      </c>
      <c r="E234" t="s">
        <v>18</v>
      </c>
      <c r="F234">
        <v>3</v>
      </c>
      <c r="G234" t="s">
        <v>26</v>
      </c>
      <c r="H234">
        <v>0.3</v>
      </c>
      <c r="I234">
        <v>16.600000000000001</v>
      </c>
      <c r="J234">
        <v>10</v>
      </c>
      <c r="K234" t="s">
        <v>19</v>
      </c>
      <c r="L234">
        <v>1</v>
      </c>
      <c r="M234" t="s">
        <v>31</v>
      </c>
      <c r="N234" t="s">
        <v>41</v>
      </c>
      <c r="O234">
        <v>1</v>
      </c>
    </row>
    <row r="235" spans="1:15" x14ac:dyDescent="0.2">
      <c r="A235" t="s">
        <v>268</v>
      </c>
      <c r="B235" s="1">
        <v>46062.708333333336</v>
      </c>
      <c r="C235" t="s">
        <v>11</v>
      </c>
      <c r="D235" t="s">
        <v>12</v>
      </c>
      <c r="E235" t="s">
        <v>21</v>
      </c>
      <c r="F235">
        <v>2</v>
      </c>
      <c r="G235" t="s">
        <v>24</v>
      </c>
      <c r="H235">
        <v>2.2000000000000002</v>
      </c>
      <c r="I235">
        <v>19.100000000000001</v>
      </c>
      <c r="J235">
        <v>10</v>
      </c>
      <c r="K235" t="s">
        <v>19</v>
      </c>
      <c r="L235">
        <v>1</v>
      </c>
      <c r="M235" t="s">
        <v>31</v>
      </c>
      <c r="N235" t="s">
        <v>35</v>
      </c>
      <c r="O235">
        <v>1</v>
      </c>
    </row>
    <row r="236" spans="1:15" x14ac:dyDescent="0.2">
      <c r="A236" t="s">
        <v>269</v>
      </c>
      <c r="B236" s="1">
        <v>46061.791666666664</v>
      </c>
      <c r="C236" t="s">
        <v>20</v>
      </c>
      <c r="D236" t="s">
        <v>16</v>
      </c>
      <c r="E236" t="s">
        <v>25</v>
      </c>
      <c r="F236">
        <v>4</v>
      </c>
      <c r="G236" t="s">
        <v>14</v>
      </c>
      <c r="H236">
        <v>4</v>
      </c>
      <c r="I236">
        <v>15.1</v>
      </c>
      <c r="J236">
        <v>11</v>
      </c>
      <c r="K236" t="s">
        <v>15</v>
      </c>
      <c r="L236">
        <v>0</v>
      </c>
      <c r="M236" t="s">
        <v>31</v>
      </c>
      <c r="N236" t="s">
        <v>35</v>
      </c>
      <c r="O236">
        <v>1</v>
      </c>
    </row>
    <row r="237" spans="1:15" x14ac:dyDescent="0.2">
      <c r="A237" t="s">
        <v>270</v>
      </c>
      <c r="B237" s="1">
        <v>46030</v>
      </c>
      <c r="C237" t="s">
        <v>11</v>
      </c>
      <c r="D237" t="s">
        <v>12</v>
      </c>
      <c r="E237" t="s">
        <v>25</v>
      </c>
      <c r="F237">
        <v>3</v>
      </c>
      <c r="G237" t="s">
        <v>26</v>
      </c>
      <c r="H237">
        <v>4</v>
      </c>
      <c r="I237">
        <v>8.1999999999999993</v>
      </c>
      <c r="J237">
        <v>9</v>
      </c>
      <c r="K237" t="s">
        <v>15</v>
      </c>
      <c r="L237">
        <v>0</v>
      </c>
      <c r="M237" t="s">
        <v>31</v>
      </c>
      <c r="N237" t="s">
        <v>35</v>
      </c>
      <c r="O237">
        <v>1</v>
      </c>
    </row>
    <row r="238" spans="1:15" x14ac:dyDescent="0.2">
      <c r="A238" t="s">
        <v>271</v>
      </c>
      <c r="B238" s="1">
        <v>46059.041666666664</v>
      </c>
      <c r="C238" t="s">
        <v>11</v>
      </c>
      <c r="D238" t="s">
        <v>17</v>
      </c>
      <c r="E238" t="s">
        <v>21</v>
      </c>
      <c r="F238">
        <v>3</v>
      </c>
      <c r="G238" t="s">
        <v>26</v>
      </c>
      <c r="H238">
        <v>9.1</v>
      </c>
      <c r="I238">
        <v>19.2</v>
      </c>
      <c r="J238">
        <v>9</v>
      </c>
      <c r="K238" t="s">
        <v>15</v>
      </c>
      <c r="L238">
        <v>0</v>
      </c>
      <c r="M238" t="s">
        <v>31</v>
      </c>
      <c r="N238" t="s">
        <v>32</v>
      </c>
      <c r="O238">
        <v>1</v>
      </c>
    </row>
    <row r="239" spans="1:15" x14ac:dyDescent="0.2">
      <c r="A239" t="s">
        <v>272</v>
      </c>
      <c r="B239" s="1">
        <v>46039.458333333336</v>
      </c>
      <c r="C239" t="s">
        <v>22</v>
      </c>
      <c r="D239" t="s">
        <v>16</v>
      </c>
      <c r="E239" t="s">
        <v>13</v>
      </c>
      <c r="F239">
        <v>5</v>
      </c>
      <c r="G239" t="s">
        <v>14</v>
      </c>
      <c r="H239">
        <v>0.7</v>
      </c>
      <c r="I239">
        <v>1.6</v>
      </c>
      <c r="J239">
        <v>9</v>
      </c>
      <c r="K239" t="s">
        <v>19</v>
      </c>
      <c r="L239">
        <v>1</v>
      </c>
      <c r="M239" t="s">
        <v>31</v>
      </c>
      <c r="N239" t="s">
        <v>41</v>
      </c>
      <c r="O239">
        <v>1</v>
      </c>
    </row>
    <row r="240" spans="1:15" x14ac:dyDescent="0.2">
      <c r="A240" t="s">
        <v>273</v>
      </c>
      <c r="B240" s="1">
        <v>45996.041666666664</v>
      </c>
      <c r="C240" t="s">
        <v>11</v>
      </c>
      <c r="D240" t="s">
        <v>17</v>
      </c>
      <c r="E240" t="s">
        <v>13</v>
      </c>
      <c r="F240">
        <v>5</v>
      </c>
      <c r="G240" t="s">
        <v>14</v>
      </c>
      <c r="H240">
        <v>5.5</v>
      </c>
      <c r="I240">
        <v>5.3</v>
      </c>
      <c r="J240">
        <v>9</v>
      </c>
      <c r="K240" t="s">
        <v>15</v>
      </c>
      <c r="L240">
        <v>0</v>
      </c>
      <c r="M240" t="s">
        <v>31</v>
      </c>
      <c r="N240" t="s">
        <v>32</v>
      </c>
      <c r="O240">
        <v>1</v>
      </c>
    </row>
    <row r="241" spans="1:15" x14ac:dyDescent="0.2">
      <c r="A241" t="s">
        <v>274</v>
      </c>
      <c r="B241" s="1">
        <v>46050.666666666664</v>
      </c>
      <c r="C241" t="s">
        <v>20</v>
      </c>
      <c r="D241" t="s">
        <v>12</v>
      </c>
      <c r="E241" t="s">
        <v>13</v>
      </c>
      <c r="F241">
        <v>5</v>
      </c>
      <c r="G241" t="s">
        <v>14</v>
      </c>
      <c r="H241">
        <v>7.9</v>
      </c>
      <c r="I241">
        <v>4.8</v>
      </c>
      <c r="J241">
        <v>11</v>
      </c>
      <c r="K241" t="s">
        <v>15</v>
      </c>
      <c r="L241">
        <v>0</v>
      </c>
      <c r="M241" t="s">
        <v>31</v>
      </c>
      <c r="N241" t="s">
        <v>32</v>
      </c>
      <c r="O241">
        <v>1</v>
      </c>
    </row>
    <row r="242" spans="1:15" x14ac:dyDescent="0.2">
      <c r="A242" t="s">
        <v>275</v>
      </c>
      <c r="B242" s="1">
        <v>46061.083333333336</v>
      </c>
      <c r="C242" t="s">
        <v>11</v>
      </c>
      <c r="D242" t="s">
        <v>17</v>
      </c>
      <c r="E242" t="s">
        <v>21</v>
      </c>
      <c r="F242">
        <v>4</v>
      </c>
      <c r="G242" t="s">
        <v>14</v>
      </c>
      <c r="H242">
        <v>9.9</v>
      </c>
      <c r="I242">
        <v>21.1</v>
      </c>
      <c r="J242">
        <v>10</v>
      </c>
      <c r="K242" t="s">
        <v>15</v>
      </c>
      <c r="L242">
        <v>0</v>
      </c>
      <c r="M242" t="s">
        <v>31</v>
      </c>
      <c r="N242" t="s">
        <v>32</v>
      </c>
      <c r="O242">
        <v>1</v>
      </c>
    </row>
    <row r="243" spans="1:15" x14ac:dyDescent="0.2">
      <c r="A243" t="s">
        <v>276</v>
      </c>
      <c r="B243" s="1">
        <v>46068.5</v>
      </c>
      <c r="C243" t="s">
        <v>11</v>
      </c>
      <c r="D243" t="s">
        <v>17</v>
      </c>
      <c r="E243" t="s">
        <v>13</v>
      </c>
      <c r="F243">
        <v>4</v>
      </c>
      <c r="G243" t="s">
        <v>14</v>
      </c>
      <c r="H243">
        <v>3.2</v>
      </c>
      <c r="I243">
        <v>20</v>
      </c>
      <c r="J243">
        <v>12</v>
      </c>
      <c r="K243" t="s">
        <v>19</v>
      </c>
      <c r="L243">
        <v>1</v>
      </c>
      <c r="M243" t="s">
        <v>31</v>
      </c>
      <c r="N243" t="s">
        <v>35</v>
      </c>
      <c r="O243">
        <v>1</v>
      </c>
    </row>
    <row r="244" spans="1:15" x14ac:dyDescent="0.2">
      <c r="A244" t="s">
        <v>277</v>
      </c>
      <c r="B244" s="1">
        <v>46077.375</v>
      </c>
      <c r="C244" t="s">
        <v>11</v>
      </c>
      <c r="D244" t="s">
        <v>17</v>
      </c>
      <c r="E244" t="s">
        <v>25</v>
      </c>
      <c r="F244">
        <v>4</v>
      </c>
      <c r="G244" t="s">
        <v>14</v>
      </c>
      <c r="H244">
        <v>5.4</v>
      </c>
      <c r="I244">
        <v>16.399999999999999</v>
      </c>
      <c r="J244">
        <v>9</v>
      </c>
      <c r="K244" t="s">
        <v>15</v>
      </c>
      <c r="L244">
        <v>0</v>
      </c>
      <c r="M244" t="s">
        <v>31</v>
      </c>
      <c r="N244" t="s">
        <v>32</v>
      </c>
      <c r="O244">
        <v>1</v>
      </c>
    </row>
    <row r="245" spans="1:15" x14ac:dyDescent="0.2">
      <c r="A245" t="s">
        <v>278</v>
      </c>
      <c r="B245" s="1">
        <v>46053.75</v>
      </c>
      <c r="C245" t="s">
        <v>11</v>
      </c>
      <c r="D245" t="s">
        <v>17</v>
      </c>
      <c r="E245" t="s">
        <v>18</v>
      </c>
      <c r="F245">
        <v>5</v>
      </c>
      <c r="G245" t="s">
        <v>14</v>
      </c>
      <c r="H245">
        <v>5.6</v>
      </c>
      <c r="I245">
        <v>21.1</v>
      </c>
      <c r="J245">
        <v>12</v>
      </c>
      <c r="K245" t="s">
        <v>15</v>
      </c>
      <c r="L245">
        <v>0</v>
      </c>
      <c r="M245" t="s">
        <v>31</v>
      </c>
      <c r="N245" t="s">
        <v>32</v>
      </c>
      <c r="O245">
        <v>1</v>
      </c>
    </row>
    <row r="246" spans="1:15" x14ac:dyDescent="0.2">
      <c r="A246" t="s">
        <v>279</v>
      </c>
      <c r="B246" s="1">
        <v>46023.541666666664</v>
      </c>
      <c r="C246" t="s">
        <v>22</v>
      </c>
      <c r="D246" t="s">
        <v>17</v>
      </c>
      <c r="E246" t="s">
        <v>21</v>
      </c>
      <c r="F246">
        <v>5</v>
      </c>
      <c r="G246" t="s">
        <v>14</v>
      </c>
      <c r="H246">
        <v>4.7</v>
      </c>
      <c r="I246">
        <v>5.5</v>
      </c>
      <c r="J246">
        <v>11</v>
      </c>
      <c r="K246" t="s">
        <v>15</v>
      </c>
      <c r="L246">
        <v>0</v>
      </c>
      <c r="M246" t="s">
        <v>31</v>
      </c>
      <c r="N246" t="s">
        <v>32</v>
      </c>
      <c r="O246">
        <v>1</v>
      </c>
    </row>
    <row r="247" spans="1:15" x14ac:dyDescent="0.2">
      <c r="A247" t="s">
        <v>280</v>
      </c>
      <c r="B247" s="1">
        <v>46042.708333333336</v>
      </c>
      <c r="C247" t="s">
        <v>11</v>
      </c>
      <c r="D247" t="s">
        <v>16</v>
      </c>
      <c r="E247" t="s">
        <v>23</v>
      </c>
      <c r="F247">
        <v>3</v>
      </c>
      <c r="G247" t="s">
        <v>26</v>
      </c>
      <c r="H247">
        <v>4</v>
      </c>
      <c r="I247">
        <v>15.3</v>
      </c>
      <c r="J247">
        <v>11</v>
      </c>
      <c r="K247" t="s">
        <v>15</v>
      </c>
      <c r="L247">
        <v>0</v>
      </c>
      <c r="M247" t="s">
        <v>31</v>
      </c>
      <c r="N247" t="s">
        <v>35</v>
      </c>
      <c r="O247">
        <v>1</v>
      </c>
    </row>
    <row r="248" spans="1:15" x14ac:dyDescent="0.2">
      <c r="A248" t="s">
        <v>281</v>
      </c>
      <c r="B248" s="1">
        <v>46054</v>
      </c>
      <c r="C248" t="s">
        <v>11</v>
      </c>
      <c r="D248" t="s">
        <v>12</v>
      </c>
      <c r="E248" t="s">
        <v>13</v>
      </c>
      <c r="F248">
        <v>4</v>
      </c>
      <c r="G248" t="s">
        <v>14</v>
      </c>
      <c r="H248">
        <v>5.3</v>
      </c>
      <c r="I248">
        <v>11.5</v>
      </c>
      <c r="J248">
        <v>12</v>
      </c>
      <c r="K248" t="s">
        <v>15</v>
      </c>
      <c r="L248">
        <v>0</v>
      </c>
      <c r="M248" t="s">
        <v>31</v>
      </c>
      <c r="N248" t="s">
        <v>32</v>
      </c>
      <c r="O248">
        <v>1</v>
      </c>
    </row>
    <row r="249" spans="1:15" x14ac:dyDescent="0.2">
      <c r="A249" t="s">
        <v>282</v>
      </c>
      <c r="B249" s="1">
        <v>45997.75</v>
      </c>
      <c r="C249" t="s">
        <v>11</v>
      </c>
      <c r="D249" t="s">
        <v>12</v>
      </c>
      <c r="E249" t="s">
        <v>21</v>
      </c>
      <c r="F249">
        <v>4</v>
      </c>
      <c r="G249" t="s">
        <v>14</v>
      </c>
      <c r="H249">
        <v>0.1</v>
      </c>
      <c r="I249">
        <v>19.3</v>
      </c>
      <c r="J249">
        <v>10</v>
      </c>
      <c r="K249" t="s">
        <v>19</v>
      </c>
      <c r="L249">
        <v>1</v>
      </c>
      <c r="M249" t="s">
        <v>31</v>
      </c>
      <c r="N249" t="s">
        <v>41</v>
      </c>
      <c r="O249">
        <v>1</v>
      </c>
    </row>
    <row r="250" spans="1:15" x14ac:dyDescent="0.2">
      <c r="A250" t="s">
        <v>283</v>
      </c>
      <c r="B250" s="1">
        <v>46030.583333333336</v>
      </c>
      <c r="C250" t="s">
        <v>11</v>
      </c>
      <c r="D250" t="s">
        <v>17</v>
      </c>
      <c r="E250" t="s">
        <v>25</v>
      </c>
      <c r="F250">
        <v>5</v>
      </c>
      <c r="G250" t="s">
        <v>14</v>
      </c>
      <c r="H250">
        <v>5.9</v>
      </c>
      <c r="I250">
        <v>11.6</v>
      </c>
      <c r="J250">
        <v>12</v>
      </c>
      <c r="K250" t="s">
        <v>15</v>
      </c>
      <c r="L250">
        <v>0</v>
      </c>
      <c r="M250" t="s">
        <v>31</v>
      </c>
      <c r="N250" t="s">
        <v>32</v>
      </c>
      <c r="O250">
        <v>1</v>
      </c>
    </row>
    <row r="251" spans="1:15" x14ac:dyDescent="0.2">
      <c r="A251" t="s">
        <v>284</v>
      </c>
      <c r="B251" s="1">
        <v>46046.916666666664</v>
      </c>
      <c r="C251" t="s">
        <v>11</v>
      </c>
      <c r="D251" t="s">
        <v>16</v>
      </c>
      <c r="E251" t="s">
        <v>13</v>
      </c>
      <c r="F251">
        <v>5</v>
      </c>
      <c r="G251" t="s">
        <v>14</v>
      </c>
      <c r="H251">
        <v>4.5</v>
      </c>
      <c r="I251">
        <v>9.4</v>
      </c>
      <c r="J251">
        <v>11</v>
      </c>
      <c r="K251" t="s">
        <v>15</v>
      </c>
      <c r="L251">
        <v>0</v>
      </c>
      <c r="M251" t="s">
        <v>31</v>
      </c>
      <c r="N251" t="s">
        <v>32</v>
      </c>
      <c r="O251">
        <v>1</v>
      </c>
    </row>
    <row r="252" spans="1:15" x14ac:dyDescent="0.2">
      <c r="A252" t="s">
        <v>285</v>
      </c>
      <c r="B252" s="1">
        <v>46046.541666666664</v>
      </c>
      <c r="C252" t="s">
        <v>11</v>
      </c>
      <c r="D252" t="s">
        <v>17</v>
      </c>
      <c r="E252" t="s">
        <v>13</v>
      </c>
      <c r="F252">
        <v>4</v>
      </c>
      <c r="G252" t="s">
        <v>14</v>
      </c>
      <c r="H252">
        <v>3.6</v>
      </c>
      <c r="I252">
        <v>16.8</v>
      </c>
      <c r="J252">
        <v>12</v>
      </c>
      <c r="K252" t="s">
        <v>19</v>
      </c>
      <c r="L252">
        <v>1</v>
      </c>
      <c r="M252" t="s">
        <v>31</v>
      </c>
      <c r="N252" t="s">
        <v>35</v>
      </c>
      <c r="O252">
        <v>1</v>
      </c>
    </row>
    <row r="253" spans="1:15" x14ac:dyDescent="0.2">
      <c r="A253" t="s">
        <v>286</v>
      </c>
      <c r="B253" s="1">
        <v>45999.333333333336</v>
      </c>
      <c r="C253" t="s">
        <v>11</v>
      </c>
      <c r="D253" t="s">
        <v>16</v>
      </c>
      <c r="E253" t="s">
        <v>18</v>
      </c>
      <c r="F253">
        <v>2</v>
      </c>
      <c r="G253" t="s">
        <v>24</v>
      </c>
      <c r="H253">
        <v>9.3000000000000007</v>
      </c>
      <c r="I253">
        <v>19.5</v>
      </c>
      <c r="J253">
        <v>9</v>
      </c>
      <c r="K253" t="s">
        <v>15</v>
      </c>
      <c r="L253">
        <v>0</v>
      </c>
      <c r="M253" t="s">
        <v>31</v>
      </c>
      <c r="N253" t="s">
        <v>32</v>
      </c>
      <c r="O253">
        <v>1</v>
      </c>
    </row>
    <row r="254" spans="1:15" x14ac:dyDescent="0.2">
      <c r="A254" t="s">
        <v>287</v>
      </c>
      <c r="B254" s="1">
        <v>46030.125</v>
      </c>
      <c r="C254" t="s">
        <v>11</v>
      </c>
      <c r="D254" t="s">
        <v>12</v>
      </c>
      <c r="E254" t="s">
        <v>25</v>
      </c>
      <c r="F254">
        <v>5</v>
      </c>
      <c r="G254" t="s">
        <v>14</v>
      </c>
      <c r="H254">
        <v>2.5</v>
      </c>
      <c r="I254">
        <v>7.2</v>
      </c>
      <c r="J254">
        <v>9</v>
      </c>
      <c r="K254" t="s">
        <v>19</v>
      </c>
      <c r="L254">
        <v>1</v>
      </c>
      <c r="M254" t="s">
        <v>31</v>
      </c>
      <c r="N254" t="s">
        <v>35</v>
      </c>
      <c r="O254">
        <v>1</v>
      </c>
    </row>
    <row r="255" spans="1:15" x14ac:dyDescent="0.2">
      <c r="A255" t="s">
        <v>288</v>
      </c>
      <c r="B255" s="1">
        <v>46013.583333333336</v>
      </c>
      <c r="C255" t="s">
        <v>11</v>
      </c>
      <c r="D255" t="s">
        <v>12</v>
      </c>
      <c r="E255" t="s">
        <v>21</v>
      </c>
      <c r="F255">
        <v>2</v>
      </c>
      <c r="G255" t="s">
        <v>24</v>
      </c>
      <c r="H255">
        <v>3.2</v>
      </c>
      <c r="I255">
        <v>12</v>
      </c>
      <c r="J255">
        <v>10</v>
      </c>
      <c r="K255" t="s">
        <v>19</v>
      </c>
      <c r="L255">
        <v>1</v>
      </c>
      <c r="M255" t="s">
        <v>31</v>
      </c>
      <c r="N255" t="s">
        <v>35</v>
      </c>
      <c r="O255">
        <v>1</v>
      </c>
    </row>
    <row r="256" spans="1:15" x14ac:dyDescent="0.2">
      <c r="A256" t="s">
        <v>289</v>
      </c>
      <c r="B256" s="1">
        <v>46078.875</v>
      </c>
      <c r="C256" t="s">
        <v>20</v>
      </c>
      <c r="D256" t="s">
        <v>16</v>
      </c>
      <c r="E256" t="s">
        <v>21</v>
      </c>
      <c r="F256">
        <v>4</v>
      </c>
      <c r="G256" t="s">
        <v>14</v>
      </c>
      <c r="H256">
        <v>9.1999999999999993</v>
      </c>
      <c r="I256">
        <v>4</v>
      </c>
      <c r="J256">
        <v>12</v>
      </c>
      <c r="K256" t="s">
        <v>15</v>
      </c>
      <c r="L256">
        <v>0</v>
      </c>
      <c r="M256" t="s">
        <v>31</v>
      </c>
      <c r="N256" t="s">
        <v>32</v>
      </c>
      <c r="O256">
        <v>1</v>
      </c>
    </row>
    <row r="257" spans="1:15" x14ac:dyDescent="0.2">
      <c r="A257" t="s">
        <v>290</v>
      </c>
      <c r="B257" s="1">
        <v>46048.791666666664</v>
      </c>
      <c r="C257" t="s">
        <v>11</v>
      </c>
      <c r="D257" t="s">
        <v>16</v>
      </c>
      <c r="E257" t="s">
        <v>25</v>
      </c>
      <c r="F257">
        <v>3</v>
      </c>
      <c r="G257" t="s">
        <v>26</v>
      </c>
      <c r="H257">
        <v>2.1</v>
      </c>
      <c r="I257">
        <v>1</v>
      </c>
      <c r="J257">
        <v>12</v>
      </c>
      <c r="K257" t="s">
        <v>19</v>
      </c>
      <c r="L257">
        <v>1</v>
      </c>
      <c r="M257" t="s">
        <v>31</v>
      </c>
      <c r="N257" t="s">
        <v>35</v>
      </c>
      <c r="O257">
        <v>1</v>
      </c>
    </row>
    <row r="258" spans="1:15" x14ac:dyDescent="0.2">
      <c r="A258" t="s">
        <v>291</v>
      </c>
      <c r="B258" s="1">
        <v>46007.666666666664</v>
      </c>
      <c r="C258" t="s">
        <v>11</v>
      </c>
      <c r="D258" t="s">
        <v>12</v>
      </c>
      <c r="E258" t="s">
        <v>23</v>
      </c>
      <c r="F258">
        <v>5</v>
      </c>
      <c r="G258" t="s">
        <v>14</v>
      </c>
      <c r="H258">
        <v>2.8</v>
      </c>
      <c r="I258">
        <v>14.1</v>
      </c>
      <c r="J258">
        <v>12</v>
      </c>
      <c r="K258" t="s">
        <v>19</v>
      </c>
      <c r="L258">
        <v>1</v>
      </c>
      <c r="M258" t="s">
        <v>31</v>
      </c>
      <c r="N258" t="s">
        <v>35</v>
      </c>
      <c r="O258">
        <v>1</v>
      </c>
    </row>
    <row r="259" spans="1:15" x14ac:dyDescent="0.2">
      <c r="A259" t="s">
        <v>292</v>
      </c>
      <c r="B259" s="1">
        <v>46077.875</v>
      </c>
      <c r="C259" t="s">
        <v>11</v>
      </c>
      <c r="D259" t="s">
        <v>16</v>
      </c>
      <c r="E259" t="s">
        <v>23</v>
      </c>
      <c r="F259">
        <v>3</v>
      </c>
      <c r="G259" t="s">
        <v>26</v>
      </c>
      <c r="H259">
        <v>3.8</v>
      </c>
      <c r="I259">
        <v>17.399999999999999</v>
      </c>
      <c r="J259">
        <v>12</v>
      </c>
      <c r="K259" t="s">
        <v>19</v>
      </c>
      <c r="L259">
        <v>1</v>
      </c>
      <c r="M259" t="s">
        <v>31</v>
      </c>
      <c r="N259" t="s">
        <v>35</v>
      </c>
      <c r="O259">
        <v>1</v>
      </c>
    </row>
    <row r="260" spans="1:15" x14ac:dyDescent="0.2">
      <c r="A260" t="s">
        <v>293</v>
      </c>
      <c r="B260" s="1">
        <v>46005.458333333336</v>
      </c>
      <c r="C260" t="s">
        <v>11</v>
      </c>
      <c r="D260" t="s">
        <v>12</v>
      </c>
      <c r="E260" t="s">
        <v>23</v>
      </c>
      <c r="F260">
        <v>4</v>
      </c>
      <c r="G260" t="s">
        <v>14</v>
      </c>
      <c r="H260">
        <v>6.3</v>
      </c>
      <c r="I260">
        <v>14.6</v>
      </c>
      <c r="J260">
        <v>10</v>
      </c>
      <c r="K260" t="s">
        <v>15</v>
      </c>
      <c r="L260">
        <v>0</v>
      </c>
      <c r="M260" t="s">
        <v>31</v>
      </c>
      <c r="N260" t="s">
        <v>32</v>
      </c>
      <c r="O260">
        <v>1</v>
      </c>
    </row>
    <row r="261" spans="1:15" x14ac:dyDescent="0.2">
      <c r="A261" t="s">
        <v>294</v>
      </c>
      <c r="B261" s="1">
        <v>46037.041666666664</v>
      </c>
      <c r="C261" t="s">
        <v>20</v>
      </c>
      <c r="D261" t="s">
        <v>16</v>
      </c>
      <c r="E261" t="s">
        <v>23</v>
      </c>
      <c r="F261">
        <v>5</v>
      </c>
      <c r="G261" t="s">
        <v>14</v>
      </c>
      <c r="H261">
        <v>4.7</v>
      </c>
      <c r="I261">
        <v>1</v>
      </c>
      <c r="J261">
        <v>11</v>
      </c>
      <c r="K261" t="s">
        <v>15</v>
      </c>
      <c r="L261">
        <v>0</v>
      </c>
      <c r="M261" t="s">
        <v>31</v>
      </c>
      <c r="N261" t="s">
        <v>32</v>
      </c>
      <c r="O261">
        <v>1</v>
      </c>
    </row>
    <row r="262" spans="1:15" x14ac:dyDescent="0.2">
      <c r="A262" t="s">
        <v>295</v>
      </c>
      <c r="B262" s="1">
        <v>46041.458333333336</v>
      </c>
      <c r="C262" t="s">
        <v>11</v>
      </c>
      <c r="D262" t="s">
        <v>12</v>
      </c>
      <c r="E262" t="s">
        <v>21</v>
      </c>
      <c r="F262">
        <v>3</v>
      </c>
      <c r="G262" t="s">
        <v>26</v>
      </c>
      <c r="H262">
        <v>1</v>
      </c>
      <c r="I262">
        <v>9.6999999999999993</v>
      </c>
      <c r="J262">
        <v>10</v>
      </c>
      <c r="K262" t="s">
        <v>19</v>
      </c>
      <c r="L262">
        <v>1</v>
      </c>
      <c r="M262" t="s">
        <v>31</v>
      </c>
      <c r="N262" t="s">
        <v>41</v>
      </c>
      <c r="O262">
        <v>1</v>
      </c>
    </row>
    <row r="263" spans="1:15" x14ac:dyDescent="0.2">
      <c r="A263" t="s">
        <v>296</v>
      </c>
      <c r="B263" s="1">
        <v>46004.333333333336</v>
      </c>
      <c r="C263" t="s">
        <v>11</v>
      </c>
      <c r="D263" t="s">
        <v>17</v>
      </c>
      <c r="E263" t="s">
        <v>25</v>
      </c>
      <c r="F263">
        <v>4</v>
      </c>
      <c r="G263" t="s">
        <v>14</v>
      </c>
      <c r="H263">
        <v>2.9</v>
      </c>
      <c r="I263">
        <v>1</v>
      </c>
      <c r="J263">
        <v>11</v>
      </c>
      <c r="K263" t="s">
        <v>19</v>
      </c>
      <c r="L263">
        <v>1</v>
      </c>
      <c r="M263" t="s">
        <v>31</v>
      </c>
      <c r="N263" t="s">
        <v>35</v>
      </c>
      <c r="O263">
        <v>1</v>
      </c>
    </row>
    <row r="264" spans="1:15" x14ac:dyDescent="0.2">
      <c r="A264" t="s">
        <v>297</v>
      </c>
      <c r="B264" s="1">
        <v>46067.5</v>
      </c>
      <c r="C264" t="s">
        <v>20</v>
      </c>
      <c r="D264" t="s">
        <v>12</v>
      </c>
      <c r="E264" t="s">
        <v>21</v>
      </c>
      <c r="F264">
        <v>4</v>
      </c>
      <c r="G264" t="s">
        <v>14</v>
      </c>
      <c r="H264">
        <v>2.7</v>
      </c>
      <c r="I264">
        <v>23.5</v>
      </c>
      <c r="J264">
        <v>11</v>
      </c>
      <c r="K264" t="s">
        <v>19</v>
      </c>
      <c r="L264">
        <v>1</v>
      </c>
      <c r="M264" t="s">
        <v>31</v>
      </c>
      <c r="N264" t="s">
        <v>35</v>
      </c>
      <c r="O264">
        <v>1</v>
      </c>
    </row>
    <row r="265" spans="1:15" x14ac:dyDescent="0.2">
      <c r="A265" t="s">
        <v>298</v>
      </c>
      <c r="B265" s="1">
        <v>46008.75</v>
      </c>
      <c r="C265" t="s">
        <v>11</v>
      </c>
      <c r="D265" t="s">
        <v>16</v>
      </c>
      <c r="E265" t="s">
        <v>23</v>
      </c>
      <c r="F265">
        <v>1</v>
      </c>
      <c r="G265" t="s">
        <v>24</v>
      </c>
      <c r="H265">
        <v>4</v>
      </c>
      <c r="I265">
        <v>3.8</v>
      </c>
      <c r="J265">
        <v>11</v>
      </c>
      <c r="K265" t="s">
        <v>15</v>
      </c>
      <c r="L265">
        <v>0</v>
      </c>
      <c r="M265" t="s">
        <v>31</v>
      </c>
      <c r="N265" t="s">
        <v>35</v>
      </c>
      <c r="O265">
        <v>1</v>
      </c>
    </row>
    <row r="266" spans="1:15" x14ac:dyDescent="0.2">
      <c r="A266" t="s">
        <v>299</v>
      </c>
      <c r="B266" s="1">
        <v>46049.958333333336</v>
      </c>
      <c r="C266" t="s">
        <v>11</v>
      </c>
      <c r="D266" t="s">
        <v>12</v>
      </c>
      <c r="E266" t="s">
        <v>25</v>
      </c>
      <c r="F266">
        <v>5</v>
      </c>
      <c r="G266" t="s">
        <v>14</v>
      </c>
      <c r="H266">
        <v>5.3</v>
      </c>
      <c r="I266">
        <v>22.5</v>
      </c>
      <c r="J266">
        <v>12</v>
      </c>
      <c r="K266" t="s">
        <v>15</v>
      </c>
      <c r="L266">
        <v>0</v>
      </c>
      <c r="M266" t="s">
        <v>31</v>
      </c>
      <c r="N266" t="s">
        <v>32</v>
      </c>
      <c r="O266">
        <v>1</v>
      </c>
    </row>
    <row r="267" spans="1:15" x14ac:dyDescent="0.2">
      <c r="A267" t="s">
        <v>300</v>
      </c>
      <c r="B267" s="1">
        <v>46027</v>
      </c>
      <c r="C267" t="s">
        <v>11</v>
      </c>
      <c r="D267" t="s">
        <v>12</v>
      </c>
      <c r="E267" t="s">
        <v>25</v>
      </c>
      <c r="F267">
        <v>2</v>
      </c>
      <c r="G267" t="s">
        <v>24</v>
      </c>
      <c r="H267">
        <v>5.2</v>
      </c>
      <c r="I267">
        <v>20.100000000000001</v>
      </c>
      <c r="J267">
        <v>10</v>
      </c>
      <c r="K267" t="s">
        <v>15</v>
      </c>
      <c r="L267">
        <v>0</v>
      </c>
      <c r="M267" t="s">
        <v>31</v>
      </c>
      <c r="N267" t="s">
        <v>32</v>
      </c>
      <c r="O267">
        <v>1</v>
      </c>
    </row>
    <row r="268" spans="1:15" x14ac:dyDescent="0.2">
      <c r="A268" t="s">
        <v>301</v>
      </c>
      <c r="B268" s="1">
        <v>46015.291666666664</v>
      </c>
      <c r="C268" t="s">
        <v>11</v>
      </c>
      <c r="D268" t="s">
        <v>12</v>
      </c>
      <c r="E268" t="s">
        <v>25</v>
      </c>
      <c r="F268">
        <v>4</v>
      </c>
      <c r="G268" t="s">
        <v>14</v>
      </c>
      <c r="H268">
        <v>0.1</v>
      </c>
      <c r="I268">
        <v>5.3</v>
      </c>
      <c r="J268">
        <v>11</v>
      </c>
      <c r="K268" t="s">
        <v>19</v>
      </c>
      <c r="L268">
        <v>1</v>
      </c>
      <c r="M268" t="s">
        <v>31</v>
      </c>
      <c r="N268" t="s">
        <v>41</v>
      </c>
      <c r="O268">
        <v>1</v>
      </c>
    </row>
    <row r="269" spans="1:15" x14ac:dyDescent="0.2">
      <c r="A269" t="s">
        <v>302</v>
      </c>
      <c r="B269" s="1">
        <v>45994.041666666664</v>
      </c>
      <c r="C269" t="s">
        <v>11</v>
      </c>
      <c r="D269" t="s">
        <v>16</v>
      </c>
      <c r="E269" t="s">
        <v>25</v>
      </c>
      <c r="F269">
        <v>5</v>
      </c>
      <c r="G269" t="s">
        <v>14</v>
      </c>
      <c r="H269">
        <v>6.9</v>
      </c>
      <c r="I269">
        <v>3.4</v>
      </c>
      <c r="J269">
        <v>9</v>
      </c>
      <c r="K269" t="s">
        <v>15</v>
      </c>
      <c r="L269">
        <v>0</v>
      </c>
      <c r="M269" t="s">
        <v>31</v>
      </c>
      <c r="N269" t="s">
        <v>32</v>
      </c>
      <c r="O269">
        <v>1</v>
      </c>
    </row>
    <row r="270" spans="1:15" x14ac:dyDescent="0.2">
      <c r="A270" t="s">
        <v>303</v>
      </c>
      <c r="B270" s="1">
        <v>45996.75</v>
      </c>
      <c r="C270" t="s">
        <v>11</v>
      </c>
      <c r="D270" t="s">
        <v>16</v>
      </c>
      <c r="E270" t="s">
        <v>13</v>
      </c>
      <c r="F270">
        <v>5</v>
      </c>
      <c r="G270" t="s">
        <v>14</v>
      </c>
      <c r="H270">
        <v>4.8</v>
      </c>
      <c r="I270">
        <v>15.3</v>
      </c>
      <c r="J270">
        <v>11</v>
      </c>
      <c r="K270" t="s">
        <v>15</v>
      </c>
      <c r="L270">
        <v>0</v>
      </c>
      <c r="M270" t="s">
        <v>31</v>
      </c>
      <c r="N270" t="s">
        <v>32</v>
      </c>
      <c r="O270">
        <v>1</v>
      </c>
    </row>
    <row r="271" spans="1:15" x14ac:dyDescent="0.2">
      <c r="A271" t="s">
        <v>304</v>
      </c>
      <c r="B271" s="1">
        <v>46035.458333333336</v>
      </c>
      <c r="C271" t="s">
        <v>11</v>
      </c>
      <c r="D271" t="s">
        <v>12</v>
      </c>
      <c r="E271" t="s">
        <v>23</v>
      </c>
      <c r="F271">
        <v>5</v>
      </c>
      <c r="G271" t="s">
        <v>14</v>
      </c>
      <c r="H271">
        <v>7.7</v>
      </c>
      <c r="I271">
        <v>5.7</v>
      </c>
      <c r="J271">
        <v>10</v>
      </c>
      <c r="K271" t="s">
        <v>15</v>
      </c>
      <c r="L271">
        <v>0</v>
      </c>
      <c r="M271" t="s">
        <v>31</v>
      </c>
      <c r="N271" t="s">
        <v>32</v>
      </c>
      <c r="O271">
        <v>1</v>
      </c>
    </row>
    <row r="272" spans="1:15" x14ac:dyDescent="0.2">
      <c r="A272" t="s">
        <v>305</v>
      </c>
      <c r="B272" s="1">
        <v>46073.125</v>
      </c>
      <c r="C272" t="s">
        <v>11</v>
      </c>
      <c r="D272" t="s">
        <v>16</v>
      </c>
      <c r="E272" t="s">
        <v>13</v>
      </c>
      <c r="F272">
        <v>4</v>
      </c>
      <c r="G272" t="s">
        <v>14</v>
      </c>
      <c r="H272">
        <v>5.3</v>
      </c>
      <c r="I272">
        <v>13.3</v>
      </c>
      <c r="J272">
        <v>12</v>
      </c>
      <c r="K272" t="s">
        <v>15</v>
      </c>
      <c r="L272">
        <v>0</v>
      </c>
      <c r="M272" t="s">
        <v>31</v>
      </c>
      <c r="N272" t="s">
        <v>32</v>
      </c>
      <c r="O272">
        <v>1</v>
      </c>
    </row>
    <row r="273" spans="1:15" x14ac:dyDescent="0.2">
      <c r="A273" t="s">
        <v>306</v>
      </c>
      <c r="B273" s="1">
        <v>46039.208333333336</v>
      </c>
      <c r="C273" t="s">
        <v>11</v>
      </c>
      <c r="D273" t="s">
        <v>17</v>
      </c>
      <c r="E273" t="s">
        <v>23</v>
      </c>
      <c r="F273">
        <v>1</v>
      </c>
      <c r="G273" t="s">
        <v>24</v>
      </c>
      <c r="H273">
        <v>7</v>
      </c>
      <c r="I273">
        <v>8.6</v>
      </c>
      <c r="J273">
        <v>9</v>
      </c>
      <c r="K273" t="s">
        <v>15</v>
      </c>
      <c r="L273">
        <v>0</v>
      </c>
      <c r="M273" t="s">
        <v>31</v>
      </c>
      <c r="N273" t="s">
        <v>32</v>
      </c>
      <c r="O273">
        <v>1</v>
      </c>
    </row>
    <row r="274" spans="1:15" x14ac:dyDescent="0.2">
      <c r="A274" t="s">
        <v>307</v>
      </c>
      <c r="B274" s="1">
        <v>46041.125</v>
      </c>
      <c r="C274" t="s">
        <v>11</v>
      </c>
      <c r="D274" t="s">
        <v>17</v>
      </c>
      <c r="E274" t="s">
        <v>23</v>
      </c>
      <c r="F274">
        <v>5</v>
      </c>
      <c r="G274" t="s">
        <v>14</v>
      </c>
      <c r="H274">
        <v>5.4</v>
      </c>
      <c r="I274">
        <v>1</v>
      </c>
      <c r="J274">
        <v>11</v>
      </c>
      <c r="K274" t="s">
        <v>15</v>
      </c>
      <c r="L274">
        <v>0</v>
      </c>
      <c r="M274" t="s">
        <v>31</v>
      </c>
      <c r="N274" t="s">
        <v>32</v>
      </c>
      <c r="O274">
        <v>1</v>
      </c>
    </row>
    <row r="275" spans="1:15" x14ac:dyDescent="0.2">
      <c r="A275" t="s">
        <v>308</v>
      </c>
      <c r="B275" s="1">
        <v>46066.041666666664</v>
      </c>
      <c r="C275" t="s">
        <v>11</v>
      </c>
      <c r="D275" t="s">
        <v>12</v>
      </c>
      <c r="E275" t="s">
        <v>25</v>
      </c>
      <c r="F275">
        <v>4</v>
      </c>
      <c r="G275" t="s">
        <v>14</v>
      </c>
      <c r="H275">
        <v>7.6</v>
      </c>
      <c r="I275">
        <v>1</v>
      </c>
      <c r="J275">
        <v>12</v>
      </c>
      <c r="K275" t="s">
        <v>15</v>
      </c>
      <c r="L275">
        <v>0</v>
      </c>
      <c r="M275" t="s">
        <v>31</v>
      </c>
      <c r="N275" t="s">
        <v>32</v>
      </c>
      <c r="O275">
        <v>1</v>
      </c>
    </row>
    <row r="276" spans="1:15" x14ac:dyDescent="0.2">
      <c r="A276" t="s">
        <v>309</v>
      </c>
      <c r="B276" s="1">
        <v>46043.333333333336</v>
      </c>
      <c r="C276" t="s">
        <v>11</v>
      </c>
      <c r="D276" t="s">
        <v>16</v>
      </c>
      <c r="E276" t="s">
        <v>18</v>
      </c>
      <c r="F276">
        <v>5</v>
      </c>
      <c r="G276" t="s">
        <v>14</v>
      </c>
      <c r="H276">
        <v>5.5</v>
      </c>
      <c r="I276">
        <v>14.3</v>
      </c>
      <c r="J276">
        <v>10</v>
      </c>
      <c r="K276" t="s">
        <v>15</v>
      </c>
      <c r="L276">
        <v>0</v>
      </c>
      <c r="M276" t="s">
        <v>31</v>
      </c>
      <c r="N276" t="s">
        <v>32</v>
      </c>
      <c r="O276">
        <v>1</v>
      </c>
    </row>
    <row r="277" spans="1:15" x14ac:dyDescent="0.2">
      <c r="A277" t="s">
        <v>310</v>
      </c>
      <c r="B277" s="1">
        <v>46042.125</v>
      </c>
      <c r="C277" t="s">
        <v>11</v>
      </c>
      <c r="D277" t="s">
        <v>12</v>
      </c>
      <c r="E277" t="s">
        <v>25</v>
      </c>
      <c r="F277">
        <v>5</v>
      </c>
      <c r="G277" t="s">
        <v>14</v>
      </c>
      <c r="H277">
        <v>4</v>
      </c>
      <c r="I277">
        <v>8</v>
      </c>
      <c r="J277">
        <v>10</v>
      </c>
      <c r="K277" t="s">
        <v>15</v>
      </c>
      <c r="L277">
        <v>0</v>
      </c>
      <c r="M277" t="s">
        <v>31</v>
      </c>
      <c r="N277" t="s">
        <v>35</v>
      </c>
      <c r="O277">
        <v>1</v>
      </c>
    </row>
    <row r="278" spans="1:15" x14ac:dyDescent="0.2">
      <c r="A278" t="s">
        <v>311</v>
      </c>
      <c r="B278" s="1">
        <v>46029.583333333336</v>
      </c>
      <c r="C278" t="s">
        <v>11</v>
      </c>
      <c r="D278" t="s">
        <v>12</v>
      </c>
      <c r="E278" t="s">
        <v>25</v>
      </c>
      <c r="F278">
        <v>5</v>
      </c>
      <c r="G278" t="s">
        <v>14</v>
      </c>
      <c r="H278">
        <v>9.9</v>
      </c>
      <c r="I278">
        <v>8.1</v>
      </c>
      <c r="J278">
        <v>9</v>
      </c>
      <c r="K278" t="s">
        <v>15</v>
      </c>
      <c r="L278">
        <v>0</v>
      </c>
      <c r="M278" t="s">
        <v>31</v>
      </c>
      <c r="N278" t="s">
        <v>32</v>
      </c>
      <c r="O278">
        <v>1</v>
      </c>
    </row>
    <row r="279" spans="1:15" x14ac:dyDescent="0.2">
      <c r="A279" t="s">
        <v>312</v>
      </c>
      <c r="B279" s="1">
        <v>46030.083333333336</v>
      </c>
      <c r="C279" t="s">
        <v>11</v>
      </c>
      <c r="D279" t="s">
        <v>17</v>
      </c>
      <c r="E279" t="s">
        <v>23</v>
      </c>
      <c r="F279">
        <v>4</v>
      </c>
      <c r="G279" t="s">
        <v>14</v>
      </c>
      <c r="H279">
        <v>6.4</v>
      </c>
      <c r="I279">
        <v>18.100000000000001</v>
      </c>
      <c r="J279">
        <v>9</v>
      </c>
      <c r="K279" t="s">
        <v>15</v>
      </c>
      <c r="L279">
        <v>0</v>
      </c>
      <c r="M279" t="s">
        <v>31</v>
      </c>
      <c r="N279" t="s">
        <v>32</v>
      </c>
      <c r="O279">
        <v>1</v>
      </c>
    </row>
    <row r="280" spans="1:15" x14ac:dyDescent="0.2">
      <c r="A280" t="s">
        <v>313</v>
      </c>
      <c r="B280" s="1">
        <v>46044.291666666664</v>
      </c>
      <c r="C280" t="s">
        <v>11</v>
      </c>
      <c r="D280" t="s">
        <v>12</v>
      </c>
      <c r="E280" t="s">
        <v>25</v>
      </c>
      <c r="F280">
        <v>4</v>
      </c>
      <c r="G280" t="s">
        <v>14</v>
      </c>
      <c r="H280">
        <v>5.6</v>
      </c>
      <c r="I280">
        <v>21.9</v>
      </c>
      <c r="J280">
        <v>11</v>
      </c>
      <c r="K280" t="s">
        <v>15</v>
      </c>
      <c r="L280">
        <v>0</v>
      </c>
      <c r="M280" t="s">
        <v>31</v>
      </c>
      <c r="N280" t="s">
        <v>32</v>
      </c>
      <c r="O280">
        <v>1</v>
      </c>
    </row>
    <row r="281" spans="1:15" x14ac:dyDescent="0.2">
      <c r="A281" t="s">
        <v>314</v>
      </c>
      <c r="B281" s="1">
        <v>46065.75</v>
      </c>
      <c r="C281" t="s">
        <v>11</v>
      </c>
      <c r="D281" t="s">
        <v>16</v>
      </c>
      <c r="E281" t="s">
        <v>13</v>
      </c>
      <c r="F281">
        <v>5</v>
      </c>
      <c r="G281" t="s">
        <v>14</v>
      </c>
      <c r="H281">
        <v>1</v>
      </c>
      <c r="I281">
        <v>10.3</v>
      </c>
      <c r="J281">
        <v>12</v>
      </c>
      <c r="K281" t="s">
        <v>19</v>
      </c>
      <c r="L281">
        <v>1</v>
      </c>
      <c r="M281" t="s">
        <v>31</v>
      </c>
      <c r="N281" t="s">
        <v>41</v>
      </c>
      <c r="O281">
        <v>1</v>
      </c>
    </row>
    <row r="282" spans="1:15" x14ac:dyDescent="0.2">
      <c r="A282" t="s">
        <v>315</v>
      </c>
      <c r="B282" s="1">
        <v>46028.125</v>
      </c>
      <c r="C282" t="s">
        <v>11</v>
      </c>
      <c r="D282" t="s">
        <v>16</v>
      </c>
      <c r="E282" t="s">
        <v>13</v>
      </c>
      <c r="F282">
        <v>4</v>
      </c>
      <c r="G282" t="s">
        <v>14</v>
      </c>
      <c r="H282">
        <v>1</v>
      </c>
      <c r="I282">
        <v>9.8000000000000007</v>
      </c>
      <c r="J282">
        <v>12</v>
      </c>
      <c r="K282" t="s">
        <v>19</v>
      </c>
      <c r="L282">
        <v>1</v>
      </c>
      <c r="M282" t="s">
        <v>31</v>
      </c>
      <c r="N282" t="s">
        <v>41</v>
      </c>
      <c r="O282">
        <v>1</v>
      </c>
    </row>
    <row r="283" spans="1:15" x14ac:dyDescent="0.2">
      <c r="A283" t="s">
        <v>316</v>
      </c>
      <c r="B283" s="1">
        <v>46033.125</v>
      </c>
      <c r="C283" t="s">
        <v>11</v>
      </c>
      <c r="D283" t="s">
        <v>16</v>
      </c>
      <c r="E283" t="s">
        <v>23</v>
      </c>
      <c r="F283">
        <v>3</v>
      </c>
      <c r="G283" t="s">
        <v>26</v>
      </c>
      <c r="H283">
        <v>4.9000000000000004</v>
      </c>
      <c r="I283">
        <v>16.5</v>
      </c>
      <c r="J283">
        <v>10</v>
      </c>
      <c r="K283" t="s">
        <v>15</v>
      </c>
      <c r="L283">
        <v>0</v>
      </c>
      <c r="M283" t="s">
        <v>31</v>
      </c>
      <c r="N283" t="s">
        <v>32</v>
      </c>
      <c r="O283">
        <v>1</v>
      </c>
    </row>
    <row r="284" spans="1:15" x14ac:dyDescent="0.2">
      <c r="A284" t="s">
        <v>317</v>
      </c>
      <c r="B284" s="1">
        <v>46059.208333333336</v>
      </c>
      <c r="C284" t="s">
        <v>11</v>
      </c>
      <c r="D284" t="s">
        <v>16</v>
      </c>
      <c r="E284" t="s">
        <v>23</v>
      </c>
      <c r="F284">
        <v>5</v>
      </c>
      <c r="G284" t="s">
        <v>14</v>
      </c>
      <c r="H284">
        <v>4.5999999999999996</v>
      </c>
      <c r="I284">
        <v>1.6</v>
      </c>
      <c r="J284">
        <v>10</v>
      </c>
      <c r="K284" t="s">
        <v>15</v>
      </c>
      <c r="L284">
        <v>0</v>
      </c>
      <c r="M284" t="s">
        <v>31</v>
      </c>
      <c r="N284" t="s">
        <v>32</v>
      </c>
      <c r="O284">
        <v>1</v>
      </c>
    </row>
    <row r="285" spans="1:15" x14ac:dyDescent="0.2">
      <c r="A285" t="s">
        <v>318</v>
      </c>
      <c r="B285" s="1">
        <v>46009.625</v>
      </c>
      <c r="C285" t="s">
        <v>20</v>
      </c>
      <c r="D285" t="s">
        <v>12</v>
      </c>
      <c r="E285" t="s">
        <v>13</v>
      </c>
      <c r="F285">
        <v>5</v>
      </c>
      <c r="G285" t="s">
        <v>14</v>
      </c>
      <c r="H285">
        <v>2.7</v>
      </c>
      <c r="I285">
        <v>14.3</v>
      </c>
      <c r="J285">
        <v>11</v>
      </c>
      <c r="K285" t="s">
        <v>19</v>
      </c>
      <c r="L285">
        <v>1</v>
      </c>
      <c r="M285" t="s">
        <v>31</v>
      </c>
      <c r="N285" t="s">
        <v>35</v>
      </c>
      <c r="O285">
        <v>1</v>
      </c>
    </row>
    <row r="286" spans="1:15" x14ac:dyDescent="0.2">
      <c r="A286" t="s">
        <v>319</v>
      </c>
      <c r="B286" s="1">
        <v>46030.291666666664</v>
      </c>
      <c r="C286" t="s">
        <v>11</v>
      </c>
      <c r="D286" t="s">
        <v>12</v>
      </c>
      <c r="E286" t="s">
        <v>13</v>
      </c>
      <c r="F286">
        <v>4</v>
      </c>
      <c r="G286" t="s">
        <v>14</v>
      </c>
      <c r="H286">
        <v>4.5999999999999996</v>
      </c>
      <c r="I286">
        <v>16.899999999999999</v>
      </c>
      <c r="J286">
        <v>11</v>
      </c>
      <c r="K286" t="s">
        <v>15</v>
      </c>
      <c r="L286">
        <v>0</v>
      </c>
      <c r="M286" t="s">
        <v>31</v>
      </c>
      <c r="N286" t="s">
        <v>32</v>
      </c>
      <c r="O286">
        <v>1</v>
      </c>
    </row>
    <row r="287" spans="1:15" x14ac:dyDescent="0.2">
      <c r="A287" t="s">
        <v>320</v>
      </c>
      <c r="B287" s="1">
        <v>46081.625</v>
      </c>
      <c r="C287" t="s">
        <v>22</v>
      </c>
      <c r="D287" t="s">
        <v>16</v>
      </c>
      <c r="E287" t="s">
        <v>13</v>
      </c>
      <c r="F287">
        <v>2</v>
      </c>
      <c r="G287" t="s">
        <v>24</v>
      </c>
      <c r="H287">
        <v>8.1999999999999993</v>
      </c>
      <c r="I287">
        <v>17.899999999999999</v>
      </c>
      <c r="J287">
        <v>10</v>
      </c>
      <c r="K287" t="s">
        <v>15</v>
      </c>
      <c r="L287">
        <v>0</v>
      </c>
      <c r="M287" t="s">
        <v>31</v>
      </c>
      <c r="N287" t="s">
        <v>32</v>
      </c>
      <c r="O287">
        <v>1</v>
      </c>
    </row>
    <row r="288" spans="1:15" x14ac:dyDescent="0.2">
      <c r="A288" t="s">
        <v>321</v>
      </c>
      <c r="B288" s="1">
        <v>46045.75</v>
      </c>
      <c r="C288" t="s">
        <v>11</v>
      </c>
      <c r="D288" t="s">
        <v>12</v>
      </c>
      <c r="E288" t="s">
        <v>18</v>
      </c>
      <c r="F288">
        <v>4</v>
      </c>
      <c r="G288" t="s">
        <v>14</v>
      </c>
      <c r="H288">
        <v>5.9</v>
      </c>
      <c r="I288">
        <v>1</v>
      </c>
      <c r="J288">
        <v>10</v>
      </c>
      <c r="K288" t="s">
        <v>15</v>
      </c>
      <c r="L288">
        <v>0</v>
      </c>
      <c r="M288" t="s">
        <v>31</v>
      </c>
      <c r="N288" t="s">
        <v>32</v>
      </c>
      <c r="O288">
        <v>1</v>
      </c>
    </row>
    <row r="289" spans="1:15" x14ac:dyDescent="0.2">
      <c r="A289" t="s">
        <v>322</v>
      </c>
      <c r="B289" s="1">
        <v>46026.25</v>
      </c>
      <c r="C289" t="s">
        <v>11</v>
      </c>
      <c r="D289" t="s">
        <v>12</v>
      </c>
      <c r="E289" t="s">
        <v>23</v>
      </c>
      <c r="F289">
        <v>5</v>
      </c>
      <c r="G289" t="s">
        <v>14</v>
      </c>
      <c r="H289">
        <v>1.3</v>
      </c>
      <c r="I289">
        <v>6.4</v>
      </c>
      <c r="J289">
        <v>12</v>
      </c>
      <c r="K289" t="s">
        <v>19</v>
      </c>
      <c r="L289">
        <v>1</v>
      </c>
      <c r="M289" t="s">
        <v>31</v>
      </c>
      <c r="N289" t="s">
        <v>35</v>
      </c>
      <c r="O289">
        <v>1</v>
      </c>
    </row>
    <row r="290" spans="1:15" x14ac:dyDescent="0.2">
      <c r="A290" t="s">
        <v>323</v>
      </c>
      <c r="B290" s="1">
        <v>46004.166666666664</v>
      </c>
      <c r="C290" t="s">
        <v>11</v>
      </c>
      <c r="D290" t="s">
        <v>12</v>
      </c>
      <c r="E290" t="s">
        <v>23</v>
      </c>
      <c r="F290">
        <v>5</v>
      </c>
      <c r="G290" t="s">
        <v>14</v>
      </c>
      <c r="H290">
        <v>3.9</v>
      </c>
      <c r="I290">
        <v>5.5</v>
      </c>
      <c r="J290">
        <v>12</v>
      </c>
      <c r="K290" t="s">
        <v>19</v>
      </c>
      <c r="L290">
        <v>1</v>
      </c>
      <c r="M290" t="s">
        <v>31</v>
      </c>
      <c r="N290" t="s">
        <v>35</v>
      </c>
      <c r="O290">
        <v>1</v>
      </c>
    </row>
    <row r="291" spans="1:15" x14ac:dyDescent="0.2">
      <c r="A291" t="s">
        <v>324</v>
      </c>
      <c r="B291" s="1">
        <v>46040.416666666664</v>
      </c>
      <c r="C291" t="s">
        <v>11</v>
      </c>
      <c r="D291" t="s">
        <v>12</v>
      </c>
      <c r="E291" t="s">
        <v>13</v>
      </c>
      <c r="F291">
        <v>3</v>
      </c>
      <c r="G291" t="s">
        <v>26</v>
      </c>
      <c r="H291">
        <v>2.2000000000000002</v>
      </c>
      <c r="I291">
        <v>13.3</v>
      </c>
      <c r="J291">
        <v>12</v>
      </c>
      <c r="K291" t="s">
        <v>19</v>
      </c>
      <c r="L291">
        <v>1</v>
      </c>
      <c r="M291" t="s">
        <v>31</v>
      </c>
      <c r="N291" t="s">
        <v>35</v>
      </c>
      <c r="O291">
        <v>1</v>
      </c>
    </row>
    <row r="292" spans="1:15" x14ac:dyDescent="0.2">
      <c r="A292" t="s">
        <v>325</v>
      </c>
      <c r="B292" s="1">
        <v>46025.416666666664</v>
      </c>
      <c r="C292" t="s">
        <v>22</v>
      </c>
      <c r="D292" t="s">
        <v>12</v>
      </c>
      <c r="E292" t="s">
        <v>25</v>
      </c>
      <c r="F292">
        <v>2</v>
      </c>
      <c r="G292" t="s">
        <v>24</v>
      </c>
      <c r="H292">
        <v>3.2</v>
      </c>
      <c r="I292">
        <v>16.3</v>
      </c>
      <c r="J292">
        <v>11</v>
      </c>
      <c r="K292" t="s">
        <v>19</v>
      </c>
      <c r="L292">
        <v>1</v>
      </c>
      <c r="M292" t="s">
        <v>31</v>
      </c>
      <c r="N292" t="s">
        <v>35</v>
      </c>
      <c r="O292">
        <v>1</v>
      </c>
    </row>
    <row r="293" spans="1:15" x14ac:dyDescent="0.2">
      <c r="A293" t="s">
        <v>326</v>
      </c>
      <c r="B293" s="1">
        <v>45995.75</v>
      </c>
      <c r="C293" t="s">
        <v>22</v>
      </c>
      <c r="D293" t="s">
        <v>12</v>
      </c>
      <c r="E293" t="s">
        <v>13</v>
      </c>
      <c r="F293">
        <v>5</v>
      </c>
      <c r="G293" t="s">
        <v>14</v>
      </c>
      <c r="H293">
        <v>3.2</v>
      </c>
      <c r="I293">
        <v>24.5</v>
      </c>
      <c r="J293">
        <v>12</v>
      </c>
      <c r="K293" t="s">
        <v>19</v>
      </c>
      <c r="L293">
        <v>1</v>
      </c>
      <c r="M293" t="s">
        <v>55</v>
      </c>
      <c r="N293" t="s">
        <v>35</v>
      </c>
      <c r="O293">
        <v>1</v>
      </c>
    </row>
    <row r="294" spans="1:15" x14ac:dyDescent="0.2">
      <c r="A294" t="s">
        <v>327</v>
      </c>
      <c r="B294" s="1">
        <v>46016.375</v>
      </c>
      <c r="C294" t="s">
        <v>11</v>
      </c>
      <c r="D294" t="s">
        <v>16</v>
      </c>
      <c r="E294" t="s">
        <v>13</v>
      </c>
      <c r="F294">
        <v>4</v>
      </c>
      <c r="G294" t="s">
        <v>14</v>
      </c>
      <c r="H294">
        <v>3</v>
      </c>
      <c r="I294">
        <v>8.5</v>
      </c>
      <c r="J294">
        <v>9</v>
      </c>
      <c r="K294" t="s">
        <v>19</v>
      </c>
      <c r="L294">
        <v>1</v>
      </c>
      <c r="M294" t="s">
        <v>31</v>
      </c>
      <c r="N294" t="s">
        <v>35</v>
      </c>
      <c r="O294">
        <v>1</v>
      </c>
    </row>
    <row r="295" spans="1:15" x14ac:dyDescent="0.2">
      <c r="A295" t="s">
        <v>328</v>
      </c>
      <c r="B295" s="1">
        <v>46060.125</v>
      </c>
      <c r="C295" t="s">
        <v>11</v>
      </c>
      <c r="D295" t="s">
        <v>16</v>
      </c>
      <c r="E295" t="s">
        <v>23</v>
      </c>
      <c r="F295">
        <v>4</v>
      </c>
      <c r="G295" t="s">
        <v>14</v>
      </c>
      <c r="H295">
        <v>1.1000000000000001</v>
      </c>
      <c r="I295">
        <v>8.5</v>
      </c>
      <c r="J295">
        <v>9</v>
      </c>
      <c r="K295" t="s">
        <v>19</v>
      </c>
      <c r="L295">
        <v>1</v>
      </c>
      <c r="M295" t="s">
        <v>31</v>
      </c>
      <c r="N295" t="s">
        <v>35</v>
      </c>
      <c r="O295">
        <v>1</v>
      </c>
    </row>
    <row r="296" spans="1:15" x14ac:dyDescent="0.2">
      <c r="A296" t="s">
        <v>329</v>
      </c>
      <c r="B296" s="1">
        <v>46071.625</v>
      </c>
      <c r="C296" t="s">
        <v>20</v>
      </c>
      <c r="D296" t="s">
        <v>17</v>
      </c>
      <c r="E296" t="s">
        <v>13</v>
      </c>
      <c r="F296">
        <v>5</v>
      </c>
      <c r="G296" t="s">
        <v>14</v>
      </c>
      <c r="H296">
        <v>3.9</v>
      </c>
      <c r="I296">
        <v>21.7</v>
      </c>
      <c r="J296">
        <v>12</v>
      </c>
      <c r="K296" t="s">
        <v>19</v>
      </c>
      <c r="L296">
        <v>1</v>
      </c>
      <c r="M296" t="s">
        <v>31</v>
      </c>
      <c r="N296" t="s">
        <v>35</v>
      </c>
      <c r="O296">
        <v>1</v>
      </c>
    </row>
    <row r="297" spans="1:15" x14ac:dyDescent="0.2">
      <c r="A297" t="s">
        <v>330</v>
      </c>
      <c r="B297" s="1">
        <v>46016.125</v>
      </c>
      <c r="C297" t="s">
        <v>11</v>
      </c>
      <c r="D297" t="s">
        <v>12</v>
      </c>
      <c r="E297" t="s">
        <v>13</v>
      </c>
      <c r="F297">
        <v>2</v>
      </c>
      <c r="G297" t="s">
        <v>24</v>
      </c>
      <c r="H297">
        <v>2.8</v>
      </c>
      <c r="I297">
        <v>14.9</v>
      </c>
      <c r="J297">
        <v>12</v>
      </c>
      <c r="K297" t="s">
        <v>19</v>
      </c>
      <c r="L297">
        <v>1</v>
      </c>
      <c r="M297" t="s">
        <v>31</v>
      </c>
      <c r="N297" t="s">
        <v>35</v>
      </c>
      <c r="O297">
        <v>1</v>
      </c>
    </row>
    <row r="298" spans="1:15" x14ac:dyDescent="0.2">
      <c r="A298" t="s">
        <v>331</v>
      </c>
      <c r="B298" s="1">
        <v>46000.208333333336</v>
      </c>
      <c r="C298" t="s">
        <v>11</v>
      </c>
      <c r="D298" t="s">
        <v>12</v>
      </c>
      <c r="E298" t="s">
        <v>13</v>
      </c>
      <c r="F298">
        <v>5</v>
      </c>
      <c r="G298" t="s">
        <v>14</v>
      </c>
      <c r="H298">
        <v>0.1</v>
      </c>
      <c r="I298">
        <v>22.6</v>
      </c>
      <c r="J298">
        <v>10</v>
      </c>
      <c r="K298" t="s">
        <v>19</v>
      </c>
      <c r="L298">
        <v>1</v>
      </c>
      <c r="M298" t="s">
        <v>31</v>
      </c>
      <c r="N298" t="s">
        <v>41</v>
      </c>
      <c r="O298">
        <v>1</v>
      </c>
    </row>
    <row r="299" spans="1:15" x14ac:dyDescent="0.2">
      <c r="A299" t="s">
        <v>332</v>
      </c>
      <c r="B299" s="1">
        <v>46039.916666666664</v>
      </c>
      <c r="C299" t="s">
        <v>11</v>
      </c>
      <c r="D299" t="s">
        <v>12</v>
      </c>
      <c r="E299" t="s">
        <v>13</v>
      </c>
      <c r="F299">
        <v>2</v>
      </c>
      <c r="G299" t="s">
        <v>24</v>
      </c>
      <c r="H299">
        <v>9.3000000000000007</v>
      </c>
      <c r="I299">
        <v>14.8</v>
      </c>
      <c r="J299">
        <v>10</v>
      </c>
      <c r="K299" t="s">
        <v>15</v>
      </c>
      <c r="L299">
        <v>0</v>
      </c>
      <c r="M299" t="s">
        <v>31</v>
      </c>
      <c r="N299" t="s">
        <v>32</v>
      </c>
      <c r="O299">
        <v>1</v>
      </c>
    </row>
    <row r="300" spans="1:15" x14ac:dyDescent="0.2">
      <c r="A300" t="s">
        <v>333</v>
      </c>
      <c r="B300" s="1">
        <v>46051.125</v>
      </c>
      <c r="C300" t="s">
        <v>11</v>
      </c>
      <c r="D300" t="s">
        <v>16</v>
      </c>
      <c r="E300" t="s">
        <v>13</v>
      </c>
      <c r="F300">
        <v>4</v>
      </c>
      <c r="G300" t="s">
        <v>14</v>
      </c>
      <c r="H300">
        <v>6.9</v>
      </c>
      <c r="I300">
        <v>3.2</v>
      </c>
      <c r="J300">
        <v>11</v>
      </c>
      <c r="K300" t="s">
        <v>15</v>
      </c>
      <c r="L300">
        <v>0</v>
      </c>
      <c r="M300" t="s">
        <v>31</v>
      </c>
      <c r="N300" t="s">
        <v>32</v>
      </c>
      <c r="O300">
        <v>1</v>
      </c>
    </row>
    <row r="301" spans="1:15" x14ac:dyDescent="0.2">
      <c r="A301" t="s">
        <v>334</v>
      </c>
      <c r="B301" s="1">
        <v>46042.708333333336</v>
      </c>
      <c r="C301" t="s">
        <v>20</v>
      </c>
      <c r="D301" t="s">
        <v>16</v>
      </c>
      <c r="E301" t="s">
        <v>23</v>
      </c>
      <c r="F301">
        <v>5</v>
      </c>
      <c r="G301" t="s">
        <v>14</v>
      </c>
      <c r="H301">
        <v>3.3</v>
      </c>
      <c r="I301">
        <v>1.8</v>
      </c>
      <c r="J301">
        <v>9</v>
      </c>
      <c r="K301" t="s">
        <v>19</v>
      </c>
      <c r="L301">
        <v>1</v>
      </c>
      <c r="M301" t="s">
        <v>31</v>
      </c>
      <c r="N301" t="s">
        <v>35</v>
      </c>
      <c r="O301">
        <v>1</v>
      </c>
    </row>
    <row r="302" spans="1:15" x14ac:dyDescent="0.2">
      <c r="A302" t="s">
        <v>335</v>
      </c>
      <c r="B302" s="1">
        <v>46056.833333333336</v>
      </c>
      <c r="C302" t="s">
        <v>22</v>
      </c>
      <c r="D302" t="s">
        <v>12</v>
      </c>
      <c r="E302" t="s">
        <v>21</v>
      </c>
      <c r="F302">
        <v>4</v>
      </c>
      <c r="G302" t="s">
        <v>14</v>
      </c>
      <c r="H302">
        <v>4.2</v>
      </c>
      <c r="I302">
        <v>1</v>
      </c>
      <c r="J302">
        <v>9</v>
      </c>
      <c r="K302" t="s">
        <v>15</v>
      </c>
      <c r="L302">
        <v>0</v>
      </c>
      <c r="M302" t="s">
        <v>31</v>
      </c>
      <c r="N302" t="s">
        <v>32</v>
      </c>
      <c r="O302">
        <v>1</v>
      </c>
    </row>
    <row r="303" spans="1:15" x14ac:dyDescent="0.2">
      <c r="A303" t="s">
        <v>336</v>
      </c>
      <c r="B303" s="1">
        <v>46078.958333333336</v>
      </c>
      <c r="C303" t="s">
        <v>11</v>
      </c>
      <c r="D303" t="s">
        <v>17</v>
      </c>
      <c r="E303" t="s">
        <v>25</v>
      </c>
      <c r="F303">
        <v>5</v>
      </c>
      <c r="G303" t="s">
        <v>14</v>
      </c>
      <c r="H303">
        <v>1.3</v>
      </c>
      <c r="I303">
        <v>17.8</v>
      </c>
      <c r="J303">
        <v>11</v>
      </c>
      <c r="K303" t="s">
        <v>19</v>
      </c>
      <c r="L303">
        <v>1</v>
      </c>
      <c r="M303" t="s">
        <v>31</v>
      </c>
      <c r="N303" t="s">
        <v>35</v>
      </c>
      <c r="O303">
        <v>1</v>
      </c>
    </row>
    <row r="304" spans="1:15" x14ac:dyDescent="0.2">
      <c r="A304" t="s">
        <v>337</v>
      </c>
      <c r="B304" s="1">
        <v>46050.375</v>
      </c>
      <c r="C304" t="s">
        <v>11</v>
      </c>
      <c r="D304" t="s">
        <v>12</v>
      </c>
      <c r="E304" t="s">
        <v>23</v>
      </c>
      <c r="F304">
        <v>5</v>
      </c>
      <c r="G304" t="s">
        <v>14</v>
      </c>
      <c r="H304">
        <v>8.4</v>
      </c>
      <c r="I304">
        <v>22</v>
      </c>
      <c r="J304">
        <v>12</v>
      </c>
      <c r="K304" t="s">
        <v>15</v>
      </c>
      <c r="L304">
        <v>0</v>
      </c>
      <c r="M304" t="s">
        <v>31</v>
      </c>
      <c r="N304" t="s">
        <v>32</v>
      </c>
      <c r="O304">
        <v>1</v>
      </c>
    </row>
    <row r="305" spans="1:15" x14ac:dyDescent="0.2">
      <c r="A305" t="s">
        <v>338</v>
      </c>
      <c r="B305" s="1">
        <v>46003.916666666664</v>
      </c>
      <c r="C305" t="s">
        <v>11</v>
      </c>
      <c r="D305" t="s">
        <v>16</v>
      </c>
      <c r="E305" t="s">
        <v>13</v>
      </c>
      <c r="F305">
        <v>4</v>
      </c>
      <c r="G305" t="s">
        <v>14</v>
      </c>
      <c r="H305">
        <v>8.9</v>
      </c>
      <c r="I305">
        <v>27.3</v>
      </c>
      <c r="J305">
        <v>12</v>
      </c>
      <c r="K305" t="s">
        <v>15</v>
      </c>
      <c r="L305">
        <v>0</v>
      </c>
      <c r="M305" t="s">
        <v>55</v>
      </c>
      <c r="N305" t="s">
        <v>32</v>
      </c>
      <c r="O305">
        <v>1</v>
      </c>
    </row>
    <row r="306" spans="1:15" x14ac:dyDescent="0.2">
      <c r="A306" t="s">
        <v>339</v>
      </c>
      <c r="B306" s="1">
        <v>46023.458333333336</v>
      </c>
      <c r="C306" t="s">
        <v>11</v>
      </c>
      <c r="D306" t="s">
        <v>16</v>
      </c>
      <c r="E306" t="s">
        <v>18</v>
      </c>
      <c r="F306">
        <v>3</v>
      </c>
      <c r="G306" t="s">
        <v>26</v>
      </c>
      <c r="H306">
        <v>4.5999999999999996</v>
      </c>
      <c r="I306">
        <v>19.2</v>
      </c>
      <c r="J306">
        <v>11</v>
      </c>
      <c r="K306" t="s">
        <v>15</v>
      </c>
      <c r="L306">
        <v>0</v>
      </c>
      <c r="M306" t="s">
        <v>31</v>
      </c>
      <c r="N306" t="s">
        <v>32</v>
      </c>
      <c r="O306">
        <v>1</v>
      </c>
    </row>
    <row r="307" spans="1:15" x14ac:dyDescent="0.2">
      <c r="A307" t="s">
        <v>340</v>
      </c>
      <c r="B307" s="1">
        <v>46001.25</v>
      </c>
      <c r="C307" t="s">
        <v>11</v>
      </c>
      <c r="D307" t="s">
        <v>17</v>
      </c>
      <c r="E307" t="s">
        <v>23</v>
      </c>
      <c r="F307">
        <v>4</v>
      </c>
      <c r="G307" t="s">
        <v>14</v>
      </c>
      <c r="H307">
        <v>6.8</v>
      </c>
      <c r="I307">
        <v>21.8</v>
      </c>
      <c r="J307">
        <v>9</v>
      </c>
      <c r="K307" t="s">
        <v>15</v>
      </c>
      <c r="L307">
        <v>0</v>
      </c>
      <c r="M307" t="s">
        <v>31</v>
      </c>
      <c r="N307" t="s">
        <v>32</v>
      </c>
      <c r="O307">
        <v>1</v>
      </c>
    </row>
    <row r="308" spans="1:15" x14ac:dyDescent="0.2">
      <c r="A308" t="s">
        <v>341</v>
      </c>
      <c r="B308" s="1">
        <v>46057.083333333336</v>
      </c>
      <c r="C308" t="s">
        <v>11</v>
      </c>
      <c r="D308" t="s">
        <v>16</v>
      </c>
      <c r="E308" t="s">
        <v>13</v>
      </c>
      <c r="F308">
        <v>4</v>
      </c>
      <c r="G308" t="s">
        <v>14</v>
      </c>
      <c r="H308">
        <v>4.5999999999999996</v>
      </c>
      <c r="I308">
        <v>7.9</v>
      </c>
      <c r="J308">
        <v>9</v>
      </c>
      <c r="K308" t="s">
        <v>15</v>
      </c>
      <c r="L308">
        <v>0</v>
      </c>
      <c r="M308" t="s">
        <v>31</v>
      </c>
      <c r="N308" t="s">
        <v>32</v>
      </c>
      <c r="O308">
        <v>1</v>
      </c>
    </row>
    <row r="309" spans="1:15" x14ac:dyDescent="0.2">
      <c r="A309" t="s">
        <v>342</v>
      </c>
      <c r="B309" s="1">
        <v>45992.5</v>
      </c>
      <c r="C309" t="s">
        <v>11</v>
      </c>
      <c r="D309" t="s">
        <v>17</v>
      </c>
      <c r="E309" t="s">
        <v>25</v>
      </c>
      <c r="F309">
        <v>2</v>
      </c>
      <c r="G309" t="s">
        <v>24</v>
      </c>
      <c r="H309">
        <v>0.9</v>
      </c>
      <c r="I309">
        <v>3.2</v>
      </c>
      <c r="J309">
        <v>12</v>
      </c>
      <c r="K309" t="s">
        <v>19</v>
      </c>
      <c r="L309">
        <v>1</v>
      </c>
      <c r="M309" t="s">
        <v>31</v>
      </c>
      <c r="N309" t="s">
        <v>41</v>
      </c>
      <c r="O309">
        <v>1</v>
      </c>
    </row>
    <row r="310" spans="1:15" x14ac:dyDescent="0.2">
      <c r="A310" t="s">
        <v>343</v>
      </c>
      <c r="B310" s="1">
        <v>46018.5</v>
      </c>
      <c r="C310" t="s">
        <v>11</v>
      </c>
      <c r="D310" t="s">
        <v>12</v>
      </c>
      <c r="E310" t="s">
        <v>13</v>
      </c>
      <c r="F310">
        <v>4</v>
      </c>
      <c r="G310" t="s">
        <v>14</v>
      </c>
      <c r="H310">
        <v>3.2</v>
      </c>
      <c r="I310">
        <v>19.3</v>
      </c>
      <c r="J310">
        <v>10</v>
      </c>
      <c r="K310" t="s">
        <v>19</v>
      </c>
      <c r="L310">
        <v>1</v>
      </c>
      <c r="M310" t="s">
        <v>31</v>
      </c>
      <c r="N310" t="s">
        <v>35</v>
      </c>
      <c r="O310">
        <v>1</v>
      </c>
    </row>
    <row r="311" spans="1:15" x14ac:dyDescent="0.2">
      <c r="A311" t="s">
        <v>344</v>
      </c>
      <c r="B311" s="1">
        <v>46050.833333333336</v>
      </c>
      <c r="C311" t="s">
        <v>11</v>
      </c>
      <c r="D311" t="s">
        <v>17</v>
      </c>
      <c r="E311" t="s">
        <v>23</v>
      </c>
      <c r="F311">
        <v>4</v>
      </c>
      <c r="G311" t="s">
        <v>14</v>
      </c>
      <c r="H311">
        <v>4.5</v>
      </c>
      <c r="I311">
        <v>15.8</v>
      </c>
      <c r="J311">
        <v>11</v>
      </c>
      <c r="K311" t="s">
        <v>15</v>
      </c>
      <c r="L311">
        <v>0</v>
      </c>
      <c r="M311" t="s">
        <v>31</v>
      </c>
      <c r="N311" t="s">
        <v>32</v>
      </c>
      <c r="O311">
        <v>1</v>
      </c>
    </row>
    <row r="312" spans="1:15" x14ac:dyDescent="0.2">
      <c r="A312" t="s">
        <v>345</v>
      </c>
      <c r="B312" s="1">
        <v>45998.083333333336</v>
      </c>
      <c r="C312" t="s">
        <v>11</v>
      </c>
      <c r="D312" t="s">
        <v>12</v>
      </c>
      <c r="E312" t="s">
        <v>23</v>
      </c>
      <c r="F312">
        <v>5</v>
      </c>
      <c r="G312" t="s">
        <v>14</v>
      </c>
      <c r="H312">
        <v>3.1</v>
      </c>
      <c r="I312">
        <v>13.4</v>
      </c>
      <c r="J312">
        <v>11</v>
      </c>
      <c r="K312" t="s">
        <v>19</v>
      </c>
      <c r="L312">
        <v>1</v>
      </c>
      <c r="M312" t="s">
        <v>31</v>
      </c>
      <c r="N312" t="s">
        <v>35</v>
      </c>
      <c r="O312">
        <v>1</v>
      </c>
    </row>
    <row r="313" spans="1:15" x14ac:dyDescent="0.2">
      <c r="A313" t="s">
        <v>346</v>
      </c>
      <c r="B313" s="1">
        <v>46081.875</v>
      </c>
      <c r="C313" t="s">
        <v>22</v>
      </c>
      <c r="D313" t="s">
        <v>17</v>
      </c>
      <c r="E313" t="s">
        <v>21</v>
      </c>
      <c r="F313">
        <v>5</v>
      </c>
      <c r="G313" t="s">
        <v>14</v>
      </c>
      <c r="H313">
        <v>3.7</v>
      </c>
      <c r="I313">
        <v>15.6</v>
      </c>
      <c r="J313">
        <v>12</v>
      </c>
      <c r="K313" t="s">
        <v>19</v>
      </c>
      <c r="L313">
        <v>1</v>
      </c>
      <c r="M313" t="s">
        <v>31</v>
      </c>
      <c r="N313" t="s">
        <v>35</v>
      </c>
      <c r="O313">
        <v>1</v>
      </c>
    </row>
    <row r="314" spans="1:15" x14ac:dyDescent="0.2">
      <c r="A314" t="s">
        <v>347</v>
      </c>
      <c r="B314" s="1">
        <v>46027.708333333336</v>
      </c>
      <c r="C314" t="s">
        <v>22</v>
      </c>
      <c r="D314" t="s">
        <v>16</v>
      </c>
      <c r="E314" t="s">
        <v>23</v>
      </c>
      <c r="F314">
        <v>5</v>
      </c>
      <c r="G314" t="s">
        <v>14</v>
      </c>
      <c r="H314">
        <v>4</v>
      </c>
      <c r="I314">
        <v>15.1</v>
      </c>
      <c r="J314">
        <v>11</v>
      </c>
      <c r="K314" t="s">
        <v>15</v>
      </c>
      <c r="L314">
        <v>0</v>
      </c>
      <c r="M314" t="s">
        <v>31</v>
      </c>
      <c r="N314" t="s">
        <v>35</v>
      </c>
      <c r="O314">
        <v>1</v>
      </c>
    </row>
    <row r="315" spans="1:15" x14ac:dyDescent="0.2">
      <c r="A315" t="s">
        <v>348</v>
      </c>
      <c r="B315" s="1">
        <v>46059.083333333336</v>
      </c>
      <c r="C315" t="s">
        <v>11</v>
      </c>
      <c r="D315" t="s">
        <v>17</v>
      </c>
      <c r="E315" t="s">
        <v>25</v>
      </c>
      <c r="F315">
        <v>1</v>
      </c>
      <c r="G315" t="s">
        <v>24</v>
      </c>
      <c r="H315">
        <v>4</v>
      </c>
      <c r="I315">
        <v>22.8</v>
      </c>
      <c r="J315">
        <v>9</v>
      </c>
      <c r="K315" t="s">
        <v>15</v>
      </c>
      <c r="L315">
        <v>0</v>
      </c>
      <c r="M315" t="s">
        <v>31</v>
      </c>
      <c r="N315" t="s">
        <v>35</v>
      </c>
      <c r="O315">
        <v>1</v>
      </c>
    </row>
    <row r="316" spans="1:15" x14ac:dyDescent="0.2">
      <c r="A316" t="s">
        <v>349</v>
      </c>
      <c r="B316" s="1">
        <v>46015.416666666664</v>
      </c>
      <c r="C316" t="s">
        <v>11</v>
      </c>
      <c r="D316" t="s">
        <v>16</v>
      </c>
      <c r="E316" t="s">
        <v>18</v>
      </c>
      <c r="F316">
        <v>3</v>
      </c>
      <c r="G316" t="s">
        <v>26</v>
      </c>
      <c r="H316">
        <v>4.3</v>
      </c>
      <c r="I316">
        <v>22.9</v>
      </c>
      <c r="J316">
        <v>12</v>
      </c>
      <c r="K316" t="s">
        <v>15</v>
      </c>
      <c r="L316">
        <v>0</v>
      </c>
      <c r="M316" t="s">
        <v>31</v>
      </c>
      <c r="N316" t="s">
        <v>32</v>
      </c>
      <c r="O316">
        <v>1</v>
      </c>
    </row>
    <row r="317" spans="1:15" x14ac:dyDescent="0.2">
      <c r="A317" t="s">
        <v>350</v>
      </c>
      <c r="B317" s="1">
        <v>46075.291666666664</v>
      </c>
      <c r="C317" t="s">
        <v>11</v>
      </c>
      <c r="D317" t="s">
        <v>16</v>
      </c>
      <c r="E317" t="s">
        <v>13</v>
      </c>
      <c r="F317">
        <v>5</v>
      </c>
      <c r="G317" t="s">
        <v>14</v>
      </c>
      <c r="H317">
        <v>1.5</v>
      </c>
      <c r="I317">
        <v>16.899999999999999</v>
      </c>
      <c r="J317">
        <v>9</v>
      </c>
      <c r="K317" t="s">
        <v>19</v>
      </c>
      <c r="L317">
        <v>1</v>
      </c>
      <c r="M317" t="s">
        <v>31</v>
      </c>
      <c r="N317" t="s">
        <v>35</v>
      </c>
      <c r="O317">
        <v>1</v>
      </c>
    </row>
    <row r="318" spans="1:15" x14ac:dyDescent="0.2">
      <c r="A318" t="s">
        <v>351</v>
      </c>
      <c r="B318" s="1">
        <v>46050.875</v>
      </c>
      <c r="C318" t="s">
        <v>11</v>
      </c>
      <c r="D318" t="s">
        <v>16</v>
      </c>
      <c r="E318" t="s">
        <v>13</v>
      </c>
      <c r="F318">
        <v>4</v>
      </c>
      <c r="G318" t="s">
        <v>14</v>
      </c>
      <c r="H318">
        <v>2.4</v>
      </c>
      <c r="I318">
        <v>19.3</v>
      </c>
      <c r="J318">
        <v>10</v>
      </c>
      <c r="K318" t="s">
        <v>19</v>
      </c>
      <c r="L318">
        <v>1</v>
      </c>
      <c r="M318" t="s">
        <v>31</v>
      </c>
      <c r="N318" t="s">
        <v>35</v>
      </c>
      <c r="O318">
        <v>1</v>
      </c>
    </row>
    <row r="319" spans="1:15" x14ac:dyDescent="0.2">
      <c r="A319" t="s">
        <v>352</v>
      </c>
      <c r="B319" s="1">
        <v>46023.833333333336</v>
      </c>
      <c r="C319" t="s">
        <v>20</v>
      </c>
      <c r="D319" t="s">
        <v>16</v>
      </c>
      <c r="E319" t="s">
        <v>23</v>
      </c>
      <c r="F319">
        <v>1</v>
      </c>
      <c r="G319" t="s">
        <v>24</v>
      </c>
      <c r="H319">
        <v>1</v>
      </c>
      <c r="I319">
        <v>16.600000000000001</v>
      </c>
      <c r="J319">
        <v>11</v>
      </c>
      <c r="K319" t="s">
        <v>19</v>
      </c>
      <c r="L319">
        <v>1</v>
      </c>
      <c r="M319" t="s">
        <v>31</v>
      </c>
      <c r="N319" t="s">
        <v>41</v>
      </c>
      <c r="O319">
        <v>1</v>
      </c>
    </row>
    <row r="320" spans="1:15" x14ac:dyDescent="0.2">
      <c r="A320" t="s">
        <v>353</v>
      </c>
      <c r="B320" s="1">
        <v>46022.125</v>
      </c>
      <c r="C320" t="s">
        <v>20</v>
      </c>
      <c r="D320" t="s">
        <v>12</v>
      </c>
      <c r="E320" t="s">
        <v>23</v>
      </c>
      <c r="F320">
        <v>5</v>
      </c>
      <c r="G320" t="s">
        <v>14</v>
      </c>
      <c r="H320">
        <v>6.6</v>
      </c>
      <c r="I320">
        <v>8.8000000000000007</v>
      </c>
      <c r="J320">
        <v>11</v>
      </c>
      <c r="K320" t="s">
        <v>15</v>
      </c>
      <c r="L320">
        <v>0</v>
      </c>
      <c r="M320" t="s">
        <v>31</v>
      </c>
      <c r="N320" t="s">
        <v>32</v>
      </c>
      <c r="O320">
        <v>1</v>
      </c>
    </row>
    <row r="321" spans="1:15" x14ac:dyDescent="0.2">
      <c r="A321" t="s">
        <v>354</v>
      </c>
      <c r="B321" s="1">
        <v>46014.291666666664</v>
      </c>
      <c r="C321" t="s">
        <v>11</v>
      </c>
      <c r="D321" t="s">
        <v>12</v>
      </c>
      <c r="E321" t="s">
        <v>23</v>
      </c>
      <c r="F321">
        <v>5</v>
      </c>
      <c r="G321" t="s">
        <v>14</v>
      </c>
      <c r="H321">
        <v>0.1</v>
      </c>
      <c r="I321">
        <v>18.600000000000001</v>
      </c>
      <c r="J321">
        <v>9</v>
      </c>
      <c r="K321" t="s">
        <v>19</v>
      </c>
      <c r="L321">
        <v>1</v>
      </c>
      <c r="M321" t="s">
        <v>31</v>
      </c>
      <c r="N321" t="s">
        <v>41</v>
      </c>
      <c r="O321">
        <v>1</v>
      </c>
    </row>
    <row r="322" spans="1:15" x14ac:dyDescent="0.2">
      <c r="A322" t="s">
        <v>355</v>
      </c>
      <c r="B322" s="1">
        <v>46005.583333333336</v>
      </c>
      <c r="C322" t="s">
        <v>11</v>
      </c>
      <c r="D322" t="s">
        <v>12</v>
      </c>
      <c r="E322" t="s">
        <v>18</v>
      </c>
      <c r="F322">
        <v>4</v>
      </c>
      <c r="G322" t="s">
        <v>14</v>
      </c>
      <c r="H322">
        <v>7.1</v>
      </c>
      <c r="I322">
        <v>1.3</v>
      </c>
      <c r="J322">
        <v>12</v>
      </c>
      <c r="K322" t="s">
        <v>15</v>
      </c>
      <c r="L322">
        <v>0</v>
      </c>
      <c r="M322" t="s">
        <v>31</v>
      </c>
      <c r="N322" t="s">
        <v>32</v>
      </c>
      <c r="O322">
        <v>1</v>
      </c>
    </row>
    <row r="323" spans="1:15" x14ac:dyDescent="0.2">
      <c r="A323" t="s">
        <v>356</v>
      </c>
      <c r="B323" s="1">
        <v>46025.208333333336</v>
      </c>
      <c r="C323" t="s">
        <v>11</v>
      </c>
      <c r="D323" t="s">
        <v>12</v>
      </c>
      <c r="E323" t="s">
        <v>25</v>
      </c>
      <c r="F323">
        <v>2</v>
      </c>
      <c r="G323" t="s">
        <v>24</v>
      </c>
      <c r="H323">
        <v>7.7</v>
      </c>
      <c r="I323">
        <v>20.9</v>
      </c>
      <c r="J323">
        <v>12</v>
      </c>
      <c r="K323" t="s">
        <v>15</v>
      </c>
      <c r="L323">
        <v>0</v>
      </c>
      <c r="M323" t="s">
        <v>31</v>
      </c>
      <c r="N323" t="s">
        <v>32</v>
      </c>
      <c r="O323">
        <v>1</v>
      </c>
    </row>
    <row r="324" spans="1:15" x14ac:dyDescent="0.2">
      <c r="A324" t="s">
        <v>357</v>
      </c>
      <c r="B324" s="1">
        <v>46017.458333333336</v>
      </c>
      <c r="C324" t="s">
        <v>11</v>
      </c>
      <c r="D324" t="s">
        <v>17</v>
      </c>
      <c r="E324" t="s">
        <v>25</v>
      </c>
      <c r="F324">
        <v>5</v>
      </c>
      <c r="G324" t="s">
        <v>14</v>
      </c>
      <c r="H324">
        <v>3.4</v>
      </c>
      <c r="I324">
        <v>2.9</v>
      </c>
      <c r="J324">
        <v>11</v>
      </c>
      <c r="K324" t="s">
        <v>19</v>
      </c>
      <c r="L324">
        <v>1</v>
      </c>
      <c r="M324" t="s">
        <v>31</v>
      </c>
      <c r="N324" t="s">
        <v>35</v>
      </c>
      <c r="O324">
        <v>1</v>
      </c>
    </row>
    <row r="325" spans="1:15" x14ac:dyDescent="0.2">
      <c r="A325" t="s">
        <v>358</v>
      </c>
      <c r="B325" s="1">
        <v>46011.416666666664</v>
      </c>
      <c r="C325" t="s">
        <v>11</v>
      </c>
      <c r="D325" t="s">
        <v>12</v>
      </c>
      <c r="E325" t="s">
        <v>23</v>
      </c>
      <c r="F325">
        <v>5</v>
      </c>
      <c r="G325" t="s">
        <v>14</v>
      </c>
      <c r="H325">
        <v>0.1</v>
      </c>
      <c r="I325">
        <v>14.8</v>
      </c>
      <c r="J325">
        <v>9</v>
      </c>
      <c r="K325" t="s">
        <v>19</v>
      </c>
      <c r="L325">
        <v>1</v>
      </c>
      <c r="M325" t="s">
        <v>31</v>
      </c>
      <c r="N325" t="s">
        <v>41</v>
      </c>
      <c r="O325">
        <v>1</v>
      </c>
    </row>
    <row r="326" spans="1:15" x14ac:dyDescent="0.2">
      <c r="A326" t="s">
        <v>359</v>
      </c>
      <c r="B326" s="1">
        <v>46061.041666666664</v>
      </c>
      <c r="C326" t="s">
        <v>11</v>
      </c>
      <c r="D326" t="s">
        <v>17</v>
      </c>
      <c r="E326" t="s">
        <v>21</v>
      </c>
      <c r="F326">
        <v>5</v>
      </c>
      <c r="G326" t="s">
        <v>14</v>
      </c>
      <c r="H326">
        <v>3.3</v>
      </c>
      <c r="I326">
        <v>5.7</v>
      </c>
      <c r="J326">
        <v>10</v>
      </c>
      <c r="K326" t="s">
        <v>19</v>
      </c>
      <c r="L326">
        <v>1</v>
      </c>
      <c r="M326" t="s">
        <v>31</v>
      </c>
      <c r="N326" t="s">
        <v>35</v>
      </c>
      <c r="O326">
        <v>1</v>
      </c>
    </row>
    <row r="327" spans="1:15" x14ac:dyDescent="0.2">
      <c r="A327" t="s">
        <v>360</v>
      </c>
      <c r="B327" s="1">
        <v>46021.416666666664</v>
      </c>
      <c r="C327" t="s">
        <v>11</v>
      </c>
      <c r="D327" t="s">
        <v>12</v>
      </c>
      <c r="E327" t="s">
        <v>18</v>
      </c>
      <c r="F327">
        <v>5</v>
      </c>
      <c r="G327" t="s">
        <v>14</v>
      </c>
      <c r="H327">
        <v>4</v>
      </c>
      <c r="I327">
        <v>16.899999999999999</v>
      </c>
      <c r="J327">
        <v>9</v>
      </c>
      <c r="K327" t="s">
        <v>15</v>
      </c>
      <c r="L327">
        <v>0</v>
      </c>
      <c r="M327" t="s">
        <v>31</v>
      </c>
      <c r="N327" t="s">
        <v>35</v>
      </c>
      <c r="O327">
        <v>1</v>
      </c>
    </row>
    <row r="328" spans="1:15" x14ac:dyDescent="0.2">
      <c r="A328" t="s">
        <v>361</v>
      </c>
      <c r="B328" s="1">
        <v>46048.708333333336</v>
      </c>
      <c r="C328" t="s">
        <v>11</v>
      </c>
      <c r="D328" t="s">
        <v>12</v>
      </c>
      <c r="E328" t="s">
        <v>21</v>
      </c>
      <c r="F328">
        <v>5</v>
      </c>
      <c r="G328" t="s">
        <v>14</v>
      </c>
      <c r="H328">
        <v>1.7</v>
      </c>
      <c r="I328">
        <v>12.2</v>
      </c>
      <c r="J328">
        <v>12</v>
      </c>
      <c r="K328" t="s">
        <v>19</v>
      </c>
      <c r="L328">
        <v>1</v>
      </c>
      <c r="M328" t="s">
        <v>31</v>
      </c>
      <c r="N328" t="s">
        <v>35</v>
      </c>
      <c r="O328">
        <v>1</v>
      </c>
    </row>
    <row r="329" spans="1:15" x14ac:dyDescent="0.2">
      <c r="A329" t="s">
        <v>362</v>
      </c>
      <c r="B329" s="1">
        <v>46000.666666666664</v>
      </c>
      <c r="C329" t="s">
        <v>11</v>
      </c>
      <c r="D329" t="s">
        <v>17</v>
      </c>
      <c r="E329" t="s">
        <v>13</v>
      </c>
      <c r="F329">
        <v>4</v>
      </c>
      <c r="G329" t="s">
        <v>14</v>
      </c>
      <c r="H329">
        <v>2.9</v>
      </c>
      <c r="I329">
        <v>1</v>
      </c>
      <c r="J329">
        <v>11</v>
      </c>
      <c r="K329" t="s">
        <v>19</v>
      </c>
      <c r="L329">
        <v>1</v>
      </c>
      <c r="M329" t="s">
        <v>31</v>
      </c>
      <c r="N329" t="s">
        <v>35</v>
      </c>
      <c r="O329">
        <v>1</v>
      </c>
    </row>
    <row r="330" spans="1:15" x14ac:dyDescent="0.2">
      <c r="A330" t="s">
        <v>363</v>
      </c>
      <c r="B330" s="1">
        <v>46015.375</v>
      </c>
      <c r="C330" t="s">
        <v>11</v>
      </c>
      <c r="D330" t="s">
        <v>16</v>
      </c>
      <c r="E330" t="s">
        <v>25</v>
      </c>
      <c r="F330">
        <v>3</v>
      </c>
      <c r="G330" t="s">
        <v>26</v>
      </c>
      <c r="H330">
        <v>8</v>
      </c>
      <c r="I330">
        <v>15.9</v>
      </c>
      <c r="J330">
        <v>11</v>
      </c>
      <c r="K330" t="s">
        <v>15</v>
      </c>
      <c r="L330">
        <v>0</v>
      </c>
      <c r="M330" t="s">
        <v>31</v>
      </c>
      <c r="N330" t="s">
        <v>32</v>
      </c>
      <c r="O330">
        <v>1</v>
      </c>
    </row>
    <row r="331" spans="1:15" x14ac:dyDescent="0.2">
      <c r="A331" t="s">
        <v>364</v>
      </c>
      <c r="B331" s="1">
        <v>46001.708333333336</v>
      </c>
      <c r="C331" t="s">
        <v>11</v>
      </c>
      <c r="D331" t="s">
        <v>16</v>
      </c>
      <c r="E331" t="s">
        <v>13</v>
      </c>
      <c r="F331">
        <v>5</v>
      </c>
      <c r="G331" t="s">
        <v>14</v>
      </c>
      <c r="H331">
        <v>5.9</v>
      </c>
      <c r="I331">
        <v>7.9</v>
      </c>
      <c r="J331">
        <v>11</v>
      </c>
      <c r="K331" t="s">
        <v>15</v>
      </c>
      <c r="L331">
        <v>0</v>
      </c>
      <c r="M331" t="s">
        <v>31</v>
      </c>
      <c r="N331" t="s">
        <v>32</v>
      </c>
      <c r="O331">
        <v>1</v>
      </c>
    </row>
    <row r="332" spans="1:15" x14ac:dyDescent="0.2">
      <c r="A332" t="s">
        <v>365</v>
      </c>
      <c r="B332" s="1">
        <v>46046.416666666664</v>
      </c>
      <c r="C332" t="s">
        <v>11</v>
      </c>
      <c r="D332" t="s">
        <v>16</v>
      </c>
      <c r="E332" t="s">
        <v>13</v>
      </c>
      <c r="F332">
        <v>5</v>
      </c>
      <c r="G332" t="s">
        <v>14</v>
      </c>
      <c r="H332">
        <v>1.9</v>
      </c>
      <c r="I332">
        <v>19.5</v>
      </c>
      <c r="J332">
        <v>10</v>
      </c>
      <c r="K332" t="s">
        <v>19</v>
      </c>
      <c r="L332">
        <v>1</v>
      </c>
      <c r="M332" t="s">
        <v>31</v>
      </c>
      <c r="N332" t="s">
        <v>35</v>
      </c>
      <c r="O332">
        <v>1</v>
      </c>
    </row>
    <row r="333" spans="1:15" x14ac:dyDescent="0.2">
      <c r="A333" t="s">
        <v>366</v>
      </c>
      <c r="B333" s="1">
        <v>46072.083333333336</v>
      </c>
      <c r="C333" t="s">
        <v>11</v>
      </c>
      <c r="D333" t="s">
        <v>16</v>
      </c>
      <c r="E333" t="s">
        <v>13</v>
      </c>
      <c r="F333">
        <v>5</v>
      </c>
      <c r="G333" t="s">
        <v>14</v>
      </c>
      <c r="H333">
        <v>0.2</v>
      </c>
      <c r="I333">
        <v>12.5</v>
      </c>
      <c r="J333">
        <v>10</v>
      </c>
      <c r="K333" t="s">
        <v>19</v>
      </c>
      <c r="L333">
        <v>1</v>
      </c>
      <c r="M333" t="s">
        <v>31</v>
      </c>
      <c r="N333" t="s">
        <v>41</v>
      </c>
      <c r="O333">
        <v>1</v>
      </c>
    </row>
    <row r="334" spans="1:15" x14ac:dyDescent="0.2">
      <c r="A334" t="s">
        <v>367</v>
      </c>
      <c r="B334" s="1">
        <v>46045.708333333336</v>
      </c>
      <c r="C334" t="s">
        <v>22</v>
      </c>
      <c r="D334" t="s">
        <v>12</v>
      </c>
      <c r="E334" t="s">
        <v>25</v>
      </c>
      <c r="F334">
        <v>3</v>
      </c>
      <c r="G334" t="s">
        <v>26</v>
      </c>
      <c r="H334">
        <v>3.4</v>
      </c>
      <c r="I334">
        <v>15.7</v>
      </c>
      <c r="J334">
        <v>12</v>
      </c>
      <c r="K334" t="s">
        <v>19</v>
      </c>
      <c r="L334">
        <v>1</v>
      </c>
      <c r="M334" t="s">
        <v>31</v>
      </c>
      <c r="N334" t="s">
        <v>35</v>
      </c>
      <c r="O334">
        <v>1</v>
      </c>
    </row>
    <row r="335" spans="1:15" x14ac:dyDescent="0.2">
      <c r="A335" t="s">
        <v>368</v>
      </c>
      <c r="B335" s="1">
        <v>46047.583333333336</v>
      </c>
      <c r="C335" t="s">
        <v>20</v>
      </c>
      <c r="D335" t="s">
        <v>17</v>
      </c>
      <c r="E335" t="s">
        <v>25</v>
      </c>
      <c r="F335">
        <v>3</v>
      </c>
      <c r="G335" t="s">
        <v>26</v>
      </c>
      <c r="H335">
        <v>3.7</v>
      </c>
      <c r="I335">
        <v>4.8</v>
      </c>
      <c r="J335">
        <v>9</v>
      </c>
      <c r="K335" t="s">
        <v>19</v>
      </c>
      <c r="L335">
        <v>1</v>
      </c>
      <c r="M335" t="s">
        <v>31</v>
      </c>
      <c r="N335" t="s">
        <v>35</v>
      </c>
      <c r="O335">
        <v>1</v>
      </c>
    </row>
    <row r="336" spans="1:15" x14ac:dyDescent="0.2">
      <c r="A336" t="s">
        <v>369</v>
      </c>
      <c r="B336" s="1">
        <v>46041.291666666664</v>
      </c>
      <c r="C336" t="s">
        <v>22</v>
      </c>
      <c r="D336" t="s">
        <v>17</v>
      </c>
      <c r="E336" t="s">
        <v>13</v>
      </c>
      <c r="F336">
        <v>5</v>
      </c>
      <c r="G336" t="s">
        <v>14</v>
      </c>
      <c r="H336">
        <v>5.4</v>
      </c>
      <c r="I336">
        <v>7.8</v>
      </c>
      <c r="J336">
        <v>9</v>
      </c>
      <c r="K336" t="s">
        <v>15</v>
      </c>
      <c r="L336">
        <v>0</v>
      </c>
      <c r="M336" t="s">
        <v>31</v>
      </c>
      <c r="N336" t="s">
        <v>32</v>
      </c>
      <c r="O336">
        <v>1</v>
      </c>
    </row>
    <row r="337" spans="1:15" x14ac:dyDescent="0.2">
      <c r="A337" t="s">
        <v>370</v>
      </c>
      <c r="B337" s="1">
        <v>46071.833333333336</v>
      </c>
      <c r="C337" t="s">
        <v>22</v>
      </c>
      <c r="D337" t="s">
        <v>16</v>
      </c>
      <c r="E337" t="s">
        <v>23</v>
      </c>
      <c r="F337">
        <v>5</v>
      </c>
      <c r="G337" t="s">
        <v>14</v>
      </c>
      <c r="H337">
        <v>2.9</v>
      </c>
      <c r="I337">
        <v>8.8000000000000007</v>
      </c>
      <c r="J337">
        <v>9</v>
      </c>
      <c r="K337" t="s">
        <v>19</v>
      </c>
      <c r="L337">
        <v>1</v>
      </c>
      <c r="M337" t="s">
        <v>31</v>
      </c>
      <c r="N337" t="s">
        <v>35</v>
      </c>
      <c r="O337">
        <v>1</v>
      </c>
    </row>
    <row r="338" spans="1:15" x14ac:dyDescent="0.2">
      <c r="A338" t="s">
        <v>371</v>
      </c>
      <c r="B338" s="1">
        <v>46062.708333333336</v>
      </c>
      <c r="C338" t="s">
        <v>11</v>
      </c>
      <c r="D338" t="s">
        <v>12</v>
      </c>
      <c r="E338" t="s">
        <v>23</v>
      </c>
      <c r="F338">
        <v>5</v>
      </c>
      <c r="G338" t="s">
        <v>14</v>
      </c>
      <c r="H338">
        <v>5.5</v>
      </c>
      <c r="I338">
        <v>19.399999999999999</v>
      </c>
      <c r="J338">
        <v>10</v>
      </c>
      <c r="K338" t="s">
        <v>15</v>
      </c>
      <c r="L338">
        <v>0</v>
      </c>
      <c r="M338" t="s">
        <v>31</v>
      </c>
      <c r="N338" t="s">
        <v>32</v>
      </c>
      <c r="O338">
        <v>1</v>
      </c>
    </row>
    <row r="339" spans="1:15" x14ac:dyDescent="0.2">
      <c r="A339" t="s">
        <v>372</v>
      </c>
      <c r="B339" s="1">
        <v>46032.083333333336</v>
      </c>
      <c r="C339" t="s">
        <v>11</v>
      </c>
      <c r="D339" t="s">
        <v>16</v>
      </c>
      <c r="E339" t="s">
        <v>23</v>
      </c>
      <c r="F339">
        <v>5</v>
      </c>
      <c r="G339" t="s">
        <v>14</v>
      </c>
      <c r="H339">
        <v>9</v>
      </c>
      <c r="I339">
        <v>25.9</v>
      </c>
      <c r="J339">
        <v>11</v>
      </c>
      <c r="K339" t="s">
        <v>15</v>
      </c>
      <c r="L339">
        <v>0</v>
      </c>
      <c r="M339" t="s">
        <v>55</v>
      </c>
      <c r="N339" t="s">
        <v>32</v>
      </c>
      <c r="O339">
        <v>1</v>
      </c>
    </row>
    <row r="340" spans="1:15" x14ac:dyDescent="0.2">
      <c r="A340" t="s">
        <v>373</v>
      </c>
      <c r="B340" s="1">
        <v>46062.083333333336</v>
      </c>
      <c r="C340" t="s">
        <v>11</v>
      </c>
      <c r="D340" t="s">
        <v>12</v>
      </c>
      <c r="E340" t="s">
        <v>13</v>
      </c>
      <c r="F340">
        <v>5</v>
      </c>
      <c r="G340" t="s">
        <v>14</v>
      </c>
      <c r="H340">
        <v>6.2</v>
      </c>
      <c r="I340">
        <v>6.1</v>
      </c>
      <c r="J340">
        <v>12</v>
      </c>
      <c r="K340" t="s">
        <v>15</v>
      </c>
      <c r="L340">
        <v>0</v>
      </c>
      <c r="M340" t="s">
        <v>31</v>
      </c>
      <c r="N340" t="s">
        <v>32</v>
      </c>
      <c r="O340">
        <v>1</v>
      </c>
    </row>
    <row r="341" spans="1:15" x14ac:dyDescent="0.2">
      <c r="A341" t="s">
        <v>374</v>
      </c>
      <c r="B341" s="1">
        <v>46054.916666666664</v>
      </c>
      <c r="C341" t="s">
        <v>20</v>
      </c>
      <c r="D341" t="s">
        <v>12</v>
      </c>
      <c r="E341" t="s">
        <v>23</v>
      </c>
      <c r="F341">
        <v>5</v>
      </c>
      <c r="G341" t="s">
        <v>14</v>
      </c>
      <c r="H341">
        <v>4.0999999999999996</v>
      </c>
      <c r="I341">
        <v>21.1</v>
      </c>
      <c r="J341">
        <v>12</v>
      </c>
      <c r="K341" t="s">
        <v>15</v>
      </c>
      <c r="L341">
        <v>0</v>
      </c>
      <c r="M341" t="s">
        <v>31</v>
      </c>
      <c r="N341" t="s">
        <v>32</v>
      </c>
      <c r="O341">
        <v>1</v>
      </c>
    </row>
    <row r="342" spans="1:15" x14ac:dyDescent="0.2">
      <c r="A342" t="s">
        <v>375</v>
      </c>
      <c r="B342" s="1">
        <v>46028.458333333336</v>
      </c>
      <c r="C342" t="s">
        <v>11</v>
      </c>
      <c r="D342" t="s">
        <v>12</v>
      </c>
      <c r="E342" t="s">
        <v>21</v>
      </c>
      <c r="F342">
        <v>5</v>
      </c>
      <c r="G342" t="s">
        <v>14</v>
      </c>
      <c r="H342">
        <v>3.7</v>
      </c>
      <c r="I342">
        <v>1</v>
      </c>
      <c r="J342">
        <v>10</v>
      </c>
      <c r="K342" t="s">
        <v>19</v>
      </c>
      <c r="L342">
        <v>1</v>
      </c>
      <c r="M342" t="s">
        <v>31</v>
      </c>
      <c r="N342" t="s">
        <v>35</v>
      </c>
      <c r="O342">
        <v>1</v>
      </c>
    </row>
    <row r="343" spans="1:15" x14ac:dyDescent="0.2">
      <c r="A343" t="s">
        <v>376</v>
      </c>
      <c r="B343" s="1">
        <v>46039.291666666664</v>
      </c>
      <c r="C343" t="s">
        <v>11</v>
      </c>
      <c r="D343" t="s">
        <v>16</v>
      </c>
      <c r="E343" t="s">
        <v>13</v>
      </c>
      <c r="F343">
        <v>5</v>
      </c>
      <c r="G343" t="s">
        <v>14</v>
      </c>
      <c r="H343">
        <v>3.3</v>
      </c>
      <c r="I343">
        <v>2.9</v>
      </c>
      <c r="J343">
        <v>10</v>
      </c>
      <c r="K343" t="s">
        <v>19</v>
      </c>
      <c r="L343">
        <v>1</v>
      </c>
      <c r="M343" t="s">
        <v>31</v>
      </c>
      <c r="N343" t="s">
        <v>35</v>
      </c>
      <c r="O343">
        <v>1</v>
      </c>
    </row>
    <row r="344" spans="1:15" x14ac:dyDescent="0.2">
      <c r="A344" t="s">
        <v>377</v>
      </c>
      <c r="B344" s="1">
        <v>46022.458333333336</v>
      </c>
      <c r="C344" t="s">
        <v>20</v>
      </c>
      <c r="D344" t="s">
        <v>17</v>
      </c>
      <c r="E344" t="s">
        <v>13</v>
      </c>
      <c r="F344">
        <v>5</v>
      </c>
      <c r="G344" t="s">
        <v>14</v>
      </c>
      <c r="H344">
        <v>7.2</v>
      </c>
      <c r="I344">
        <v>4.8</v>
      </c>
      <c r="J344">
        <v>11</v>
      </c>
      <c r="K344" t="s">
        <v>15</v>
      </c>
      <c r="L344">
        <v>0</v>
      </c>
      <c r="M344" t="s">
        <v>31</v>
      </c>
      <c r="N344" t="s">
        <v>32</v>
      </c>
      <c r="O344">
        <v>1</v>
      </c>
    </row>
    <row r="345" spans="1:15" x14ac:dyDescent="0.2">
      <c r="A345" t="s">
        <v>378</v>
      </c>
      <c r="B345" s="1">
        <v>46074.75</v>
      </c>
      <c r="C345" t="s">
        <v>11</v>
      </c>
      <c r="D345" t="s">
        <v>16</v>
      </c>
      <c r="E345" t="s">
        <v>23</v>
      </c>
      <c r="F345">
        <v>3</v>
      </c>
      <c r="G345" t="s">
        <v>26</v>
      </c>
      <c r="H345">
        <v>2.6</v>
      </c>
      <c r="I345">
        <v>1.7</v>
      </c>
      <c r="J345">
        <v>11</v>
      </c>
      <c r="K345" t="s">
        <v>19</v>
      </c>
      <c r="L345">
        <v>1</v>
      </c>
      <c r="M345" t="s">
        <v>31</v>
      </c>
      <c r="N345" t="s">
        <v>35</v>
      </c>
      <c r="O345">
        <v>1</v>
      </c>
    </row>
    <row r="346" spans="1:15" x14ac:dyDescent="0.2">
      <c r="A346" t="s">
        <v>379</v>
      </c>
      <c r="B346" s="1">
        <v>46028.5</v>
      </c>
      <c r="C346" t="s">
        <v>11</v>
      </c>
      <c r="D346" t="s">
        <v>16</v>
      </c>
      <c r="E346" t="s">
        <v>18</v>
      </c>
      <c r="F346">
        <v>4</v>
      </c>
      <c r="G346" t="s">
        <v>14</v>
      </c>
      <c r="H346">
        <v>4.3</v>
      </c>
      <c r="I346">
        <v>1</v>
      </c>
      <c r="J346">
        <v>10</v>
      </c>
      <c r="K346" t="s">
        <v>15</v>
      </c>
      <c r="L346">
        <v>0</v>
      </c>
      <c r="M346" t="s">
        <v>31</v>
      </c>
      <c r="N346" t="s">
        <v>32</v>
      </c>
      <c r="O346">
        <v>1</v>
      </c>
    </row>
    <row r="347" spans="1:15" x14ac:dyDescent="0.2">
      <c r="A347" t="s">
        <v>380</v>
      </c>
      <c r="B347" s="1">
        <v>46007.083333333336</v>
      </c>
      <c r="C347" t="s">
        <v>11</v>
      </c>
      <c r="D347" t="s">
        <v>16</v>
      </c>
      <c r="E347" t="s">
        <v>25</v>
      </c>
      <c r="F347">
        <v>5</v>
      </c>
      <c r="G347" t="s">
        <v>14</v>
      </c>
      <c r="H347">
        <v>4.3</v>
      </c>
      <c r="I347">
        <v>15.8</v>
      </c>
      <c r="J347">
        <v>12</v>
      </c>
      <c r="K347" t="s">
        <v>15</v>
      </c>
      <c r="L347">
        <v>0</v>
      </c>
      <c r="M347" t="s">
        <v>31</v>
      </c>
      <c r="N347" t="s">
        <v>32</v>
      </c>
      <c r="O347">
        <v>1</v>
      </c>
    </row>
    <row r="348" spans="1:15" x14ac:dyDescent="0.2">
      <c r="A348" t="s">
        <v>381</v>
      </c>
      <c r="B348" s="1">
        <v>46079.25</v>
      </c>
      <c r="C348" t="s">
        <v>11</v>
      </c>
      <c r="D348" t="s">
        <v>12</v>
      </c>
      <c r="E348" t="s">
        <v>25</v>
      </c>
      <c r="F348">
        <v>4</v>
      </c>
      <c r="G348" t="s">
        <v>14</v>
      </c>
      <c r="H348">
        <v>2.9</v>
      </c>
      <c r="I348">
        <v>10.8</v>
      </c>
      <c r="J348">
        <v>11</v>
      </c>
      <c r="K348" t="s">
        <v>19</v>
      </c>
      <c r="L348">
        <v>1</v>
      </c>
      <c r="M348" t="s">
        <v>31</v>
      </c>
      <c r="N348" t="s">
        <v>35</v>
      </c>
      <c r="O348">
        <v>1</v>
      </c>
    </row>
    <row r="349" spans="1:15" x14ac:dyDescent="0.2">
      <c r="A349" t="s">
        <v>382</v>
      </c>
      <c r="B349" s="1">
        <v>46033.375</v>
      </c>
      <c r="C349" t="s">
        <v>22</v>
      </c>
      <c r="D349" t="s">
        <v>12</v>
      </c>
      <c r="E349" t="s">
        <v>23</v>
      </c>
      <c r="F349">
        <v>3</v>
      </c>
      <c r="G349" t="s">
        <v>26</v>
      </c>
      <c r="H349">
        <v>0.8</v>
      </c>
      <c r="I349">
        <v>15.5</v>
      </c>
      <c r="J349">
        <v>11</v>
      </c>
      <c r="K349" t="s">
        <v>19</v>
      </c>
      <c r="L349">
        <v>1</v>
      </c>
      <c r="M349" t="s">
        <v>31</v>
      </c>
      <c r="N349" t="s">
        <v>41</v>
      </c>
      <c r="O349">
        <v>1</v>
      </c>
    </row>
    <row r="350" spans="1:15" x14ac:dyDescent="0.2">
      <c r="A350" t="s">
        <v>383</v>
      </c>
      <c r="B350" s="1">
        <v>46081.541666666664</v>
      </c>
      <c r="C350" t="s">
        <v>11</v>
      </c>
      <c r="D350" t="s">
        <v>17</v>
      </c>
      <c r="E350" t="s">
        <v>25</v>
      </c>
      <c r="F350">
        <v>4</v>
      </c>
      <c r="G350" t="s">
        <v>14</v>
      </c>
      <c r="H350">
        <v>5</v>
      </c>
      <c r="I350">
        <v>18</v>
      </c>
      <c r="J350">
        <v>12</v>
      </c>
      <c r="K350" t="s">
        <v>15</v>
      </c>
      <c r="L350">
        <v>0</v>
      </c>
      <c r="M350" t="s">
        <v>31</v>
      </c>
      <c r="N350" t="s">
        <v>32</v>
      </c>
      <c r="O350">
        <v>1</v>
      </c>
    </row>
    <row r="351" spans="1:15" x14ac:dyDescent="0.2">
      <c r="A351" t="s">
        <v>384</v>
      </c>
      <c r="B351" s="1">
        <v>46043.5</v>
      </c>
      <c r="C351" t="s">
        <v>11</v>
      </c>
      <c r="D351" t="s">
        <v>12</v>
      </c>
      <c r="E351" t="s">
        <v>13</v>
      </c>
      <c r="F351">
        <v>3</v>
      </c>
      <c r="G351" t="s">
        <v>26</v>
      </c>
      <c r="H351">
        <v>4</v>
      </c>
      <c r="I351">
        <v>14.6</v>
      </c>
      <c r="J351">
        <v>11</v>
      </c>
      <c r="K351" t="s">
        <v>15</v>
      </c>
      <c r="L351">
        <v>0</v>
      </c>
      <c r="M351" t="s">
        <v>31</v>
      </c>
      <c r="N351" t="s">
        <v>35</v>
      </c>
      <c r="O351">
        <v>1</v>
      </c>
    </row>
    <row r="352" spans="1:15" x14ac:dyDescent="0.2">
      <c r="A352" t="s">
        <v>385</v>
      </c>
      <c r="B352" s="1">
        <v>46028.291666666664</v>
      </c>
      <c r="C352" t="s">
        <v>11</v>
      </c>
      <c r="D352" t="s">
        <v>17</v>
      </c>
      <c r="E352" t="s">
        <v>25</v>
      </c>
      <c r="F352">
        <v>3</v>
      </c>
      <c r="G352" t="s">
        <v>26</v>
      </c>
      <c r="H352">
        <v>5.5</v>
      </c>
      <c r="I352">
        <v>17.8</v>
      </c>
      <c r="J352">
        <v>12</v>
      </c>
      <c r="K352" t="s">
        <v>15</v>
      </c>
      <c r="L352">
        <v>0</v>
      </c>
      <c r="M352" t="s">
        <v>31</v>
      </c>
      <c r="N352" t="s">
        <v>32</v>
      </c>
      <c r="O352">
        <v>1</v>
      </c>
    </row>
    <row r="353" spans="1:15" x14ac:dyDescent="0.2">
      <c r="A353" t="s">
        <v>386</v>
      </c>
      <c r="B353" s="1">
        <v>46012.208333333336</v>
      </c>
      <c r="C353" t="s">
        <v>11</v>
      </c>
      <c r="D353" t="s">
        <v>16</v>
      </c>
      <c r="E353" t="s">
        <v>18</v>
      </c>
      <c r="F353">
        <v>4</v>
      </c>
      <c r="G353" t="s">
        <v>14</v>
      </c>
      <c r="H353">
        <v>2.9</v>
      </c>
      <c r="I353">
        <v>11.9</v>
      </c>
      <c r="J353">
        <v>9</v>
      </c>
      <c r="K353" t="s">
        <v>19</v>
      </c>
      <c r="L353">
        <v>1</v>
      </c>
      <c r="M353" t="s">
        <v>31</v>
      </c>
      <c r="N353" t="s">
        <v>35</v>
      </c>
      <c r="O353">
        <v>1</v>
      </c>
    </row>
    <row r="354" spans="1:15" x14ac:dyDescent="0.2">
      <c r="A354" t="s">
        <v>387</v>
      </c>
      <c r="B354" s="1">
        <v>46053.375</v>
      </c>
      <c r="C354" t="s">
        <v>11</v>
      </c>
      <c r="D354" t="s">
        <v>16</v>
      </c>
      <c r="E354" t="s">
        <v>25</v>
      </c>
      <c r="F354">
        <v>5</v>
      </c>
      <c r="G354" t="s">
        <v>14</v>
      </c>
      <c r="H354">
        <v>7.3</v>
      </c>
      <c r="I354">
        <v>3</v>
      </c>
      <c r="J354">
        <v>11</v>
      </c>
      <c r="K354" t="s">
        <v>15</v>
      </c>
      <c r="L354">
        <v>0</v>
      </c>
      <c r="M354" t="s">
        <v>31</v>
      </c>
      <c r="N354" t="s">
        <v>32</v>
      </c>
      <c r="O354">
        <v>1</v>
      </c>
    </row>
    <row r="355" spans="1:15" x14ac:dyDescent="0.2">
      <c r="A355" t="s">
        <v>388</v>
      </c>
      <c r="B355" s="1">
        <v>46053.666666666664</v>
      </c>
      <c r="C355" t="s">
        <v>20</v>
      </c>
      <c r="D355" t="s">
        <v>16</v>
      </c>
      <c r="E355" t="s">
        <v>21</v>
      </c>
      <c r="F355">
        <v>4</v>
      </c>
      <c r="G355" t="s">
        <v>14</v>
      </c>
      <c r="H355">
        <v>2</v>
      </c>
      <c r="I355">
        <v>21</v>
      </c>
      <c r="J355">
        <v>11</v>
      </c>
      <c r="K355" t="s">
        <v>19</v>
      </c>
      <c r="L355">
        <v>1</v>
      </c>
      <c r="M355" t="s">
        <v>31</v>
      </c>
      <c r="N355" t="s">
        <v>35</v>
      </c>
      <c r="O355">
        <v>1</v>
      </c>
    </row>
    <row r="356" spans="1:15" x14ac:dyDescent="0.2">
      <c r="A356" t="s">
        <v>389</v>
      </c>
      <c r="B356" s="1">
        <v>46026.375</v>
      </c>
      <c r="C356" t="s">
        <v>22</v>
      </c>
      <c r="D356" t="s">
        <v>16</v>
      </c>
      <c r="E356" t="s">
        <v>25</v>
      </c>
      <c r="F356">
        <v>3</v>
      </c>
      <c r="G356" t="s">
        <v>26</v>
      </c>
      <c r="H356">
        <v>8.5</v>
      </c>
      <c r="I356">
        <v>7.8</v>
      </c>
      <c r="J356">
        <v>9</v>
      </c>
      <c r="K356" t="s">
        <v>15</v>
      </c>
      <c r="L356">
        <v>0</v>
      </c>
      <c r="M356" t="s">
        <v>31</v>
      </c>
      <c r="N356" t="s">
        <v>32</v>
      </c>
      <c r="O356">
        <v>1</v>
      </c>
    </row>
    <row r="357" spans="1:15" x14ac:dyDescent="0.2">
      <c r="A357" t="s">
        <v>390</v>
      </c>
      <c r="B357" s="1">
        <v>46078.5</v>
      </c>
      <c r="C357" t="s">
        <v>11</v>
      </c>
      <c r="D357" t="s">
        <v>17</v>
      </c>
      <c r="E357" t="s">
        <v>13</v>
      </c>
      <c r="F357">
        <v>2</v>
      </c>
      <c r="G357" t="s">
        <v>24</v>
      </c>
      <c r="H357">
        <v>0.1</v>
      </c>
      <c r="I357">
        <v>5</v>
      </c>
      <c r="J357">
        <v>12</v>
      </c>
      <c r="K357" t="s">
        <v>19</v>
      </c>
      <c r="L357">
        <v>1</v>
      </c>
      <c r="M357" t="s">
        <v>31</v>
      </c>
      <c r="N357" t="s">
        <v>41</v>
      </c>
      <c r="O357">
        <v>1</v>
      </c>
    </row>
    <row r="358" spans="1:15" x14ac:dyDescent="0.2">
      <c r="A358" t="s">
        <v>391</v>
      </c>
      <c r="B358" s="1">
        <v>46038.125</v>
      </c>
      <c r="C358" t="s">
        <v>22</v>
      </c>
      <c r="D358" t="s">
        <v>17</v>
      </c>
      <c r="E358" t="s">
        <v>18</v>
      </c>
      <c r="F358">
        <v>5</v>
      </c>
      <c r="G358" t="s">
        <v>14</v>
      </c>
      <c r="H358">
        <v>5.3</v>
      </c>
      <c r="I358">
        <v>11.1</v>
      </c>
      <c r="J358">
        <v>11</v>
      </c>
      <c r="K358" t="s">
        <v>15</v>
      </c>
      <c r="L358">
        <v>0</v>
      </c>
      <c r="M358" t="s">
        <v>31</v>
      </c>
      <c r="N358" t="s">
        <v>32</v>
      </c>
      <c r="O358">
        <v>1</v>
      </c>
    </row>
    <row r="359" spans="1:15" x14ac:dyDescent="0.2">
      <c r="A359" t="s">
        <v>392</v>
      </c>
      <c r="B359" s="1">
        <v>45995.5</v>
      </c>
      <c r="C359" t="s">
        <v>11</v>
      </c>
      <c r="D359" t="s">
        <v>16</v>
      </c>
      <c r="E359" t="s">
        <v>13</v>
      </c>
      <c r="F359">
        <v>4</v>
      </c>
      <c r="G359" t="s">
        <v>14</v>
      </c>
      <c r="H359">
        <v>5.4</v>
      </c>
      <c r="I359">
        <v>5.2</v>
      </c>
      <c r="J359">
        <v>9</v>
      </c>
      <c r="K359" t="s">
        <v>15</v>
      </c>
      <c r="L359">
        <v>0</v>
      </c>
      <c r="M359" t="s">
        <v>31</v>
      </c>
      <c r="N359" t="s">
        <v>32</v>
      </c>
      <c r="O359">
        <v>1</v>
      </c>
    </row>
    <row r="360" spans="1:15" x14ac:dyDescent="0.2">
      <c r="A360" t="s">
        <v>393</v>
      </c>
      <c r="B360" s="1">
        <v>46060.416666666664</v>
      </c>
      <c r="C360" t="s">
        <v>11</v>
      </c>
      <c r="D360" t="s">
        <v>12</v>
      </c>
      <c r="E360" t="s">
        <v>23</v>
      </c>
      <c r="F360">
        <v>5</v>
      </c>
      <c r="G360" t="s">
        <v>14</v>
      </c>
      <c r="H360">
        <v>2.2000000000000002</v>
      </c>
      <c r="I360">
        <v>9.1999999999999993</v>
      </c>
      <c r="J360">
        <v>12</v>
      </c>
      <c r="K360" t="s">
        <v>19</v>
      </c>
      <c r="L360">
        <v>1</v>
      </c>
      <c r="M360" t="s">
        <v>31</v>
      </c>
      <c r="N360" t="s">
        <v>35</v>
      </c>
      <c r="O360">
        <v>1</v>
      </c>
    </row>
    <row r="361" spans="1:15" x14ac:dyDescent="0.2">
      <c r="A361" t="s">
        <v>394</v>
      </c>
      <c r="B361" s="1">
        <v>46065.208333333336</v>
      </c>
      <c r="C361" t="s">
        <v>11</v>
      </c>
      <c r="D361" t="s">
        <v>16</v>
      </c>
      <c r="E361" t="s">
        <v>13</v>
      </c>
      <c r="F361">
        <v>5</v>
      </c>
      <c r="G361" t="s">
        <v>14</v>
      </c>
      <c r="H361">
        <v>5.3</v>
      </c>
      <c r="I361">
        <v>15.3</v>
      </c>
      <c r="J361">
        <v>11</v>
      </c>
      <c r="K361" t="s">
        <v>15</v>
      </c>
      <c r="L361">
        <v>0</v>
      </c>
      <c r="M361" t="s">
        <v>31</v>
      </c>
      <c r="N361" t="s">
        <v>32</v>
      </c>
      <c r="O361">
        <v>1</v>
      </c>
    </row>
    <row r="362" spans="1:15" x14ac:dyDescent="0.2">
      <c r="A362" t="s">
        <v>395</v>
      </c>
      <c r="B362" s="1">
        <v>46014</v>
      </c>
      <c r="C362" t="s">
        <v>11</v>
      </c>
      <c r="D362" t="s">
        <v>17</v>
      </c>
      <c r="E362" t="s">
        <v>13</v>
      </c>
      <c r="F362">
        <v>5</v>
      </c>
      <c r="G362" t="s">
        <v>14</v>
      </c>
      <c r="H362">
        <v>7.4</v>
      </c>
      <c r="I362">
        <v>15.3</v>
      </c>
      <c r="J362">
        <v>10</v>
      </c>
      <c r="K362" t="s">
        <v>15</v>
      </c>
      <c r="L362">
        <v>0</v>
      </c>
      <c r="M362" t="s">
        <v>31</v>
      </c>
      <c r="N362" t="s">
        <v>32</v>
      </c>
      <c r="O362">
        <v>1</v>
      </c>
    </row>
    <row r="363" spans="1:15" x14ac:dyDescent="0.2">
      <c r="A363" t="s">
        <v>396</v>
      </c>
      <c r="B363" s="1">
        <v>46031.25</v>
      </c>
      <c r="C363" t="s">
        <v>11</v>
      </c>
      <c r="D363" t="s">
        <v>12</v>
      </c>
      <c r="E363" t="s">
        <v>23</v>
      </c>
      <c r="F363">
        <v>4</v>
      </c>
      <c r="G363" t="s">
        <v>14</v>
      </c>
      <c r="H363">
        <v>0.1</v>
      </c>
      <c r="I363">
        <v>5.3</v>
      </c>
      <c r="J363">
        <v>9</v>
      </c>
      <c r="K363" t="s">
        <v>19</v>
      </c>
      <c r="L363">
        <v>1</v>
      </c>
      <c r="M363" t="s">
        <v>31</v>
      </c>
      <c r="N363" t="s">
        <v>41</v>
      </c>
      <c r="O363">
        <v>1</v>
      </c>
    </row>
    <row r="364" spans="1:15" x14ac:dyDescent="0.2">
      <c r="A364" t="s">
        <v>397</v>
      </c>
      <c r="B364" s="1">
        <v>46009.125</v>
      </c>
      <c r="C364" t="s">
        <v>11</v>
      </c>
      <c r="D364" t="s">
        <v>16</v>
      </c>
      <c r="E364" t="s">
        <v>13</v>
      </c>
      <c r="F364">
        <v>5</v>
      </c>
      <c r="G364" t="s">
        <v>14</v>
      </c>
      <c r="H364">
        <v>5.5</v>
      </c>
      <c r="I364">
        <v>8.6</v>
      </c>
      <c r="J364">
        <v>12</v>
      </c>
      <c r="K364" t="s">
        <v>15</v>
      </c>
      <c r="L364">
        <v>0</v>
      </c>
      <c r="M364" t="s">
        <v>31</v>
      </c>
      <c r="N364" t="s">
        <v>32</v>
      </c>
      <c r="O364">
        <v>1</v>
      </c>
    </row>
    <row r="365" spans="1:15" x14ac:dyDescent="0.2">
      <c r="A365" t="s">
        <v>398</v>
      </c>
      <c r="B365" s="1">
        <v>46078.916666666664</v>
      </c>
      <c r="C365" t="s">
        <v>11</v>
      </c>
      <c r="D365" t="s">
        <v>16</v>
      </c>
      <c r="E365" t="s">
        <v>23</v>
      </c>
      <c r="F365">
        <v>4</v>
      </c>
      <c r="G365" t="s">
        <v>14</v>
      </c>
      <c r="H365">
        <v>0.1</v>
      </c>
      <c r="I365">
        <v>21.1</v>
      </c>
      <c r="J365">
        <v>10</v>
      </c>
      <c r="K365" t="s">
        <v>19</v>
      </c>
      <c r="L365">
        <v>1</v>
      </c>
      <c r="M365" t="s">
        <v>31</v>
      </c>
      <c r="N365" t="s">
        <v>41</v>
      </c>
      <c r="O365">
        <v>1</v>
      </c>
    </row>
    <row r="366" spans="1:15" x14ac:dyDescent="0.2">
      <c r="A366" t="s">
        <v>399</v>
      </c>
      <c r="B366" s="1">
        <v>45999.458333333336</v>
      </c>
      <c r="C366" t="s">
        <v>11</v>
      </c>
      <c r="D366" t="s">
        <v>16</v>
      </c>
      <c r="E366" t="s">
        <v>25</v>
      </c>
      <c r="F366">
        <v>5</v>
      </c>
      <c r="G366" t="s">
        <v>14</v>
      </c>
      <c r="H366">
        <v>1.8</v>
      </c>
      <c r="I366">
        <v>16.5</v>
      </c>
      <c r="J366">
        <v>12</v>
      </c>
      <c r="K366" t="s">
        <v>19</v>
      </c>
      <c r="L366">
        <v>1</v>
      </c>
      <c r="M366" t="s">
        <v>31</v>
      </c>
      <c r="N366" t="s">
        <v>35</v>
      </c>
      <c r="O366">
        <v>1</v>
      </c>
    </row>
    <row r="367" spans="1:15" x14ac:dyDescent="0.2">
      <c r="A367" t="s">
        <v>400</v>
      </c>
      <c r="B367" s="1">
        <v>46064.416666666664</v>
      </c>
      <c r="C367" t="s">
        <v>11</v>
      </c>
      <c r="D367" t="s">
        <v>12</v>
      </c>
      <c r="E367" t="s">
        <v>13</v>
      </c>
      <c r="F367">
        <v>5</v>
      </c>
      <c r="G367" t="s">
        <v>14</v>
      </c>
      <c r="H367">
        <v>8.3000000000000007</v>
      </c>
      <c r="I367">
        <v>29.1</v>
      </c>
      <c r="J367">
        <v>10</v>
      </c>
      <c r="K367" t="s">
        <v>15</v>
      </c>
      <c r="L367">
        <v>0</v>
      </c>
      <c r="M367" t="s">
        <v>55</v>
      </c>
      <c r="N367" t="s">
        <v>32</v>
      </c>
      <c r="O367">
        <v>1</v>
      </c>
    </row>
    <row r="368" spans="1:15" x14ac:dyDescent="0.2">
      <c r="A368" t="s">
        <v>401</v>
      </c>
      <c r="B368" s="1">
        <v>46058.958333333336</v>
      </c>
      <c r="C368" t="s">
        <v>11</v>
      </c>
      <c r="D368" t="s">
        <v>16</v>
      </c>
      <c r="E368" t="s">
        <v>13</v>
      </c>
      <c r="F368">
        <v>4</v>
      </c>
      <c r="G368" t="s">
        <v>14</v>
      </c>
      <c r="H368">
        <v>2.7</v>
      </c>
      <c r="I368">
        <v>21.9</v>
      </c>
      <c r="J368">
        <v>10</v>
      </c>
      <c r="K368" t="s">
        <v>19</v>
      </c>
      <c r="L368">
        <v>1</v>
      </c>
      <c r="M368" t="s">
        <v>31</v>
      </c>
      <c r="N368" t="s">
        <v>35</v>
      </c>
      <c r="O368">
        <v>1</v>
      </c>
    </row>
    <row r="369" spans="1:15" x14ac:dyDescent="0.2">
      <c r="A369" t="s">
        <v>402</v>
      </c>
      <c r="B369" s="1">
        <v>46048.5</v>
      </c>
      <c r="C369" t="s">
        <v>11</v>
      </c>
      <c r="D369" t="s">
        <v>17</v>
      </c>
      <c r="E369" t="s">
        <v>25</v>
      </c>
      <c r="F369">
        <v>4</v>
      </c>
      <c r="G369" t="s">
        <v>14</v>
      </c>
      <c r="H369">
        <v>1.3</v>
      </c>
      <c r="I369">
        <v>21.7</v>
      </c>
      <c r="J369">
        <v>9</v>
      </c>
      <c r="K369" t="s">
        <v>19</v>
      </c>
      <c r="L369">
        <v>1</v>
      </c>
      <c r="M369" t="s">
        <v>31</v>
      </c>
      <c r="N369" t="s">
        <v>35</v>
      </c>
      <c r="O369">
        <v>1</v>
      </c>
    </row>
    <row r="370" spans="1:15" x14ac:dyDescent="0.2">
      <c r="A370" t="s">
        <v>403</v>
      </c>
      <c r="B370" s="1">
        <v>46040.75</v>
      </c>
      <c r="C370" t="s">
        <v>20</v>
      </c>
      <c r="D370" t="s">
        <v>12</v>
      </c>
      <c r="E370" t="s">
        <v>23</v>
      </c>
      <c r="F370">
        <v>3</v>
      </c>
      <c r="G370" t="s">
        <v>26</v>
      </c>
      <c r="H370">
        <v>3.7</v>
      </c>
      <c r="I370">
        <v>1.4</v>
      </c>
      <c r="J370">
        <v>9</v>
      </c>
      <c r="K370" t="s">
        <v>19</v>
      </c>
      <c r="L370">
        <v>1</v>
      </c>
      <c r="M370" t="s">
        <v>31</v>
      </c>
      <c r="N370" t="s">
        <v>35</v>
      </c>
      <c r="O370">
        <v>1</v>
      </c>
    </row>
    <row r="371" spans="1:15" x14ac:dyDescent="0.2">
      <c r="A371" t="s">
        <v>404</v>
      </c>
      <c r="B371" s="1">
        <v>46023.583333333336</v>
      </c>
      <c r="C371" t="s">
        <v>22</v>
      </c>
      <c r="D371" t="s">
        <v>12</v>
      </c>
      <c r="E371" t="s">
        <v>25</v>
      </c>
      <c r="F371">
        <v>5</v>
      </c>
      <c r="G371" t="s">
        <v>14</v>
      </c>
      <c r="H371">
        <v>9.4</v>
      </c>
      <c r="I371">
        <v>18.600000000000001</v>
      </c>
      <c r="J371">
        <v>10</v>
      </c>
      <c r="K371" t="s">
        <v>15</v>
      </c>
      <c r="L371">
        <v>0</v>
      </c>
      <c r="M371" t="s">
        <v>31</v>
      </c>
      <c r="N371" t="s">
        <v>32</v>
      </c>
      <c r="O371">
        <v>1</v>
      </c>
    </row>
    <row r="372" spans="1:15" x14ac:dyDescent="0.2">
      <c r="A372" t="s">
        <v>405</v>
      </c>
      <c r="B372" s="1">
        <v>46038.5</v>
      </c>
      <c r="C372" t="s">
        <v>20</v>
      </c>
      <c r="D372" t="s">
        <v>17</v>
      </c>
      <c r="E372" t="s">
        <v>25</v>
      </c>
      <c r="F372">
        <v>3</v>
      </c>
      <c r="G372" t="s">
        <v>26</v>
      </c>
      <c r="H372">
        <v>0.1</v>
      </c>
      <c r="I372">
        <v>12.1</v>
      </c>
      <c r="J372">
        <v>9</v>
      </c>
      <c r="K372" t="s">
        <v>19</v>
      </c>
      <c r="L372">
        <v>1</v>
      </c>
      <c r="M372" t="s">
        <v>31</v>
      </c>
      <c r="N372" t="s">
        <v>41</v>
      </c>
      <c r="O372">
        <v>1</v>
      </c>
    </row>
    <row r="373" spans="1:15" x14ac:dyDescent="0.2">
      <c r="A373" t="s">
        <v>406</v>
      </c>
      <c r="B373" s="1">
        <v>46046.458333333336</v>
      </c>
      <c r="C373" t="s">
        <v>22</v>
      </c>
      <c r="D373" t="s">
        <v>12</v>
      </c>
      <c r="E373" t="s">
        <v>21</v>
      </c>
      <c r="F373">
        <v>5</v>
      </c>
      <c r="G373" t="s">
        <v>14</v>
      </c>
      <c r="H373">
        <v>1.6</v>
      </c>
      <c r="I373">
        <v>8.1</v>
      </c>
      <c r="J373">
        <v>12</v>
      </c>
      <c r="K373" t="s">
        <v>19</v>
      </c>
      <c r="L373">
        <v>1</v>
      </c>
      <c r="M373" t="s">
        <v>31</v>
      </c>
      <c r="N373" t="s">
        <v>35</v>
      </c>
      <c r="O373">
        <v>1</v>
      </c>
    </row>
    <row r="374" spans="1:15" x14ac:dyDescent="0.2">
      <c r="A374" t="s">
        <v>407</v>
      </c>
      <c r="B374" s="1">
        <v>46049.916666666664</v>
      </c>
      <c r="C374" t="s">
        <v>20</v>
      </c>
      <c r="D374" t="s">
        <v>17</v>
      </c>
      <c r="E374" t="s">
        <v>25</v>
      </c>
      <c r="F374">
        <v>4</v>
      </c>
      <c r="G374" t="s">
        <v>14</v>
      </c>
      <c r="H374">
        <v>7.9</v>
      </c>
      <c r="I374">
        <v>13.8</v>
      </c>
      <c r="J374">
        <v>11</v>
      </c>
      <c r="K374" t="s">
        <v>15</v>
      </c>
      <c r="L374">
        <v>0</v>
      </c>
      <c r="M374" t="s">
        <v>31</v>
      </c>
      <c r="N374" t="s">
        <v>32</v>
      </c>
      <c r="O374">
        <v>1</v>
      </c>
    </row>
    <row r="375" spans="1:15" x14ac:dyDescent="0.2">
      <c r="A375" t="s">
        <v>408</v>
      </c>
      <c r="B375" s="1">
        <v>46022</v>
      </c>
      <c r="C375" t="s">
        <v>11</v>
      </c>
      <c r="D375" t="s">
        <v>16</v>
      </c>
      <c r="E375" t="s">
        <v>23</v>
      </c>
      <c r="F375">
        <v>5</v>
      </c>
      <c r="G375" t="s">
        <v>14</v>
      </c>
      <c r="H375">
        <v>8.8000000000000007</v>
      </c>
      <c r="I375">
        <v>20.100000000000001</v>
      </c>
      <c r="J375">
        <v>12</v>
      </c>
      <c r="K375" t="s">
        <v>15</v>
      </c>
      <c r="L375">
        <v>0</v>
      </c>
      <c r="M375" t="s">
        <v>31</v>
      </c>
      <c r="N375" t="s">
        <v>32</v>
      </c>
      <c r="O375">
        <v>1</v>
      </c>
    </row>
    <row r="376" spans="1:15" x14ac:dyDescent="0.2">
      <c r="A376" t="s">
        <v>409</v>
      </c>
      <c r="B376" s="1">
        <v>46012.958333333336</v>
      </c>
      <c r="C376" t="s">
        <v>22</v>
      </c>
      <c r="D376" t="s">
        <v>12</v>
      </c>
      <c r="E376" t="s">
        <v>25</v>
      </c>
      <c r="F376">
        <v>5</v>
      </c>
      <c r="G376" t="s">
        <v>14</v>
      </c>
      <c r="H376">
        <v>3.9</v>
      </c>
      <c r="I376">
        <v>16.5</v>
      </c>
      <c r="J376">
        <v>10</v>
      </c>
      <c r="K376" t="s">
        <v>19</v>
      </c>
      <c r="L376">
        <v>1</v>
      </c>
      <c r="M376" t="s">
        <v>31</v>
      </c>
      <c r="N376" t="s">
        <v>35</v>
      </c>
      <c r="O376">
        <v>1</v>
      </c>
    </row>
    <row r="377" spans="1:15" x14ac:dyDescent="0.2">
      <c r="A377" t="s">
        <v>410</v>
      </c>
      <c r="B377" s="1">
        <v>46037.708333333336</v>
      </c>
      <c r="C377" t="s">
        <v>11</v>
      </c>
      <c r="D377" t="s">
        <v>17</v>
      </c>
      <c r="E377" t="s">
        <v>13</v>
      </c>
      <c r="F377">
        <v>5</v>
      </c>
      <c r="G377" t="s">
        <v>14</v>
      </c>
      <c r="H377">
        <v>1.1000000000000001</v>
      </c>
      <c r="I377">
        <v>5.5</v>
      </c>
      <c r="J377">
        <v>12</v>
      </c>
      <c r="K377" t="s">
        <v>19</v>
      </c>
      <c r="L377">
        <v>1</v>
      </c>
      <c r="M377" t="s">
        <v>31</v>
      </c>
      <c r="N377" t="s">
        <v>35</v>
      </c>
      <c r="O377">
        <v>1</v>
      </c>
    </row>
    <row r="378" spans="1:15" x14ac:dyDescent="0.2">
      <c r="A378" t="s">
        <v>411</v>
      </c>
      <c r="B378" s="1">
        <v>45998.916666666664</v>
      </c>
      <c r="C378" t="s">
        <v>11</v>
      </c>
      <c r="D378" t="s">
        <v>16</v>
      </c>
      <c r="E378" t="s">
        <v>23</v>
      </c>
      <c r="F378">
        <v>5</v>
      </c>
      <c r="G378" t="s">
        <v>14</v>
      </c>
      <c r="H378">
        <v>9.4</v>
      </c>
      <c r="I378">
        <v>18.399999999999999</v>
      </c>
      <c r="J378">
        <v>10</v>
      </c>
      <c r="K378" t="s">
        <v>15</v>
      </c>
      <c r="L378">
        <v>0</v>
      </c>
      <c r="M378" t="s">
        <v>31</v>
      </c>
      <c r="N378" t="s">
        <v>32</v>
      </c>
      <c r="O378">
        <v>1</v>
      </c>
    </row>
    <row r="379" spans="1:15" x14ac:dyDescent="0.2">
      <c r="A379" t="s">
        <v>412</v>
      </c>
      <c r="B379" s="1">
        <v>45998.958333333336</v>
      </c>
      <c r="C379" t="s">
        <v>22</v>
      </c>
      <c r="D379" t="s">
        <v>16</v>
      </c>
      <c r="E379" t="s">
        <v>21</v>
      </c>
      <c r="F379">
        <v>3</v>
      </c>
      <c r="G379" t="s">
        <v>26</v>
      </c>
      <c r="H379">
        <v>8.1999999999999993</v>
      </c>
      <c r="I379">
        <v>7.4</v>
      </c>
      <c r="J379">
        <v>12</v>
      </c>
      <c r="K379" t="s">
        <v>15</v>
      </c>
      <c r="L379">
        <v>0</v>
      </c>
      <c r="M379" t="s">
        <v>31</v>
      </c>
      <c r="N379" t="s">
        <v>32</v>
      </c>
      <c r="O379">
        <v>1</v>
      </c>
    </row>
    <row r="380" spans="1:15" x14ac:dyDescent="0.2">
      <c r="A380" t="s">
        <v>413</v>
      </c>
      <c r="B380" s="1">
        <v>46078.708333333336</v>
      </c>
      <c r="C380" t="s">
        <v>11</v>
      </c>
      <c r="D380" t="s">
        <v>12</v>
      </c>
      <c r="E380" t="s">
        <v>23</v>
      </c>
      <c r="F380">
        <v>2</v>
      </c>
      <c r="G380" t="s">
        <v>24</v>
      </c>
      <c r="H380">
        <v>5.9</v>
      </c>
      <c r="I380">
        <v>14.2</v>
      </c>
      <c r="J380">
        <v>12</v>
      </c>
      <c r="K380" t="s">
        <v>15</v>
      </c>
      <c r="L380">
        <v>0</v>
      </c>
      <c r="M380" t="s">
        <v>31</v>
      </c>
      <c r="N380" t="s">
        <v>32</v>
      </c>
      <c r="O380">
        <v>1</v>
      </c>
    </row>
    <row r="381" spans="1:15" x14ac:dyDescent="0.2">
      <c r="A381" t="s">
        <v>414</v>
      </c>
      <c r="B381" s="1">
        <v>46057</v>
      </c>
      <c r="C381" t="s">
        <v>11</v>
      </c>
      <c r="D381" t="s">
        <v>16</v>
      </c>
      <c r="E381" t="s">
        <v>21</v>
      </c>
      <c r="F381">
        <v>5</v>
      </c>
      <c r="G381" t="s">
        <v>14</v>
      </c>
      <c r="H381">
        <v>2.2000000000000002</v>
      </c>
      <c r="I381">
        <v>10.1</v>
      </c>
      <c r="J381">
        <v>9</v>
      </c>
      <c r="K381" t="s">
        <v>19</v>
      </c>
      <c r="L381">
        <v>1</v>
      </c>
      <c r="M381" t="s">
        <v>31</v>
      </c>
      <c r="N381" t="s">
        <v>35</v>
      </c>
      <c r="O381">
        <v>1</v>
      </c>
    </row>
    <row r="382" spans="1:15" x14ac:dyDescent="0.2">
      <c r="A382" t="s">
        <v>415</v>
      </c>
      <c r="B382" s="1">
        <v>46002.833333333336</v>
      </c>
      <c r="C382" t="s">
        <v>20</v>
      </c>
      <c r="D382" t="s">
        <v>12</v>
      </c>
      <c r="E382" t="s">
        <v>21</v>
      </c>
      <c r="F382">
        <v>4</v>
      </c>
      <c r="G382" t="s">
        <v>14</v>
      </c>
      <c r="H382">
        <v>4.0999999999999996</v>
      </c>
      <c r="I382">
        <v>10.7</v>
      </c>
      <c r="J382">
        <v>10</v>
      </c>
      <c r="K382" t="s">
        <v>15</v>
      </c>
      <c r="L382">
        <v>0</v>
      </c>
      <c r="M382" t="s">
        <v>31</v>
      </c>
      <c r="N382" t="s">
        <v>32</v>
      </c>
      <c r="O382">
        <v>1</v>
      </c>
    </row>
    <row r="383" spans="1:15" x14ac:dyDescent="0.2">
      <c r="A383" t="s">
        <v>416</v>
      </c>
      <c r="B383" s="1">
        <v>46051.833333333336</v>
      </c>
      <c r="C383" t="s">
        <v>11</v>
      </c>
      <c r="D383" t="s">
        <v>12</v>
      </c>
      <c r="E383" t="s">
        <v>21</v>
      </c>
      <c r="F383">
        <v>4</v>
      </c>
      <c r="G383" t="s">
        <v>14</v>
      </c>
      <c r="H383">
        <v>3.8</v>
      </c>
      <c r="I383">
        <v>18.600000000000001</v>
      </c>
      <c r="J383">
        <v>10</v>
      </c>
      <c r="K383" t="s">
        <v>19</v>
      </c>
      <c r="L383">
        <v>1</v>
      </c>
      <c r="M383" t="s">
        <v>31</v>
      </c>
      <c r="N383" t="s">
        <v>35</v>
      </c>
      <c r="O383">
        <v>1</v>
      </c>
    </row>
    <row r="384" spans="1:15" x14ac:dyDescent="0.2">
      <c r="A384" t="s">
        <v>417</v>
      </c>
      <c r="B384" s="1">
        <v>46021.125</v>
      </c>
      <c r="C384" t="s">
        <v>11</v>
      </c>
      <c r="D384" t="s">
        <v>17</v>
      </c>
      <c r="E384" t="s">
        <v>18</v>
      </c>
      <c r="F384">
        <v>2</v>
      </c>
      <c r="G384" t="s">
        <v>24</v>
      </c>
      <c r="H384">
        <v>5</v>
      </c>
      <c r="I384">
        <v>4.2</v>
      </c>
      <c r="J384">
        <v>11</v>
      </c>
      <c r="K384" t="s">
        <v>15</v>
      </c>
      <c r="L384">
        <v>0</v>
      </c>
      <c r="M384" t="s">
        <v>31</v>
      </c>
      <c r="N384" t="s">
        <v>32</v>
      </c>
      <c r="O384">
        <v>1</v>
      </c>
    </row>
    <row r="385" spans="1:15" x14ac:dyDescent="0.2">
      <c r="A385" t="s">
        <v>418</v>
      </c>
      <c r="B385" s="1">
        <v>46067.25</v>
      </c>
      <c r="C385" t="s">
        <v>11</v>
      </c>
      <c r="D385" t="s">
        <v>12</v>
      </c>
      <c r="E385" t="s">
        <v>23</v>
      </c>
      <c r="F385">
        <v>4</v>
      </c>
      <c r="G385" t="s">
        <v>14</v>
      </c>
      <c r="H385">
        <v>7.8</v>
      </c>
      <c r="I385">
        <v>28.1</v>
      </c>
      <c r="J385">
        <v>12</v>
      </c>
      <c r="K385" t="s">
        <v>15</v>
      </c>
      <c r="L385">
        <v>0</v>
      </c>
      <c r="M385" t="s">
        <v>55</v>
      </c>
      <c r="N385" t="s">
        <v>32</v>
      </c>
      <c r="O385">
        <v>1</v>
      </c>
    </row>
    <row r="386" spans="1:15" x14ac:dyDescent="0.2">
      <c r="A386" t="s">
        <v>419</v>
      </c>
      <c r="B386" s="1">
        <v>46054.416666666664</v>
      </c>
      <c r="C386" t="s">
        <v>11</v>
      </c>
      <c r="D386" t="s">
        <v>16</v>
      </c>
      <c r="E386" t="s">
        <v>23</v>
      </c>
      <c r="F386">
        <v>2</v>
      </c>
      <c r="G386" t="s">
        <v>24</v>
      </c>
      <c r="H386">
        <v>6.4</v>
      </c>
      <c r="I386">
        <v>1</v>
      </c>
      <c r="J386">
        <v>12</v>
      </c>
      <c r="K386" t="s">
        <v>15</v>
      </c>
      <c r="L386">
        <v>0</v>
      </c>
      <c r="M386" t="s">
        <v>31</v>
      </c>
      <c r="N386" t="s">
        <v>32</v>
      </c>
      <c r="O386">
        <v>1</v>
      </c>
    </row>
    <row r="387" spans="1:15" x14ac:dyDescent="0.2">
      <c r="A387" t="s">
        <v>420</v>
      </c>
      <c r="B387" s="1">
        <v>45992.666666666664</v>
      </c>
      <c r="C387" t="s">
        <v>11</v>
      </c>
      <c r="D387" t="s">
        <v>12</v>
      </c>
      <c r="E387" t="s">
        <v>25</v>
      </c>
      <c r="F387">
        <v>5</v>
      </c>
      <c r="G387" t="s">
        <v>14</v>
      </c>
      <c r="H387">
        <v>1.5</v>
      </c>
      <c r="I387">
        <v>7.7</v>
      </c>
      <c r="J387">
        <v>11</v>
      </c>
      <c r="K387" t="s">
        <v>19</v>
      </c>
      <c r="L387">
        <v>1</v>
      </c>
      <c r="M387" t="s">
        <v>31</v>
      </c>
      <c r="N387" t="s">
        <v>35</v>
      </c>
      <c r="O387">
        <v>1</v>
      </c>
    </row>
    <row r="388" spans="1:15" x14ac:dyDescent="0.2">
      <c r="A388" t="s">
        <v>421</v>
      </c>
      <c r="B388" s="1">
        <v>46034.791666666664</v>
      </c>
      <c r="C388" t="s">
        <v>11</v>
      </c>
      <c r="D388" t="s">
        <v>17</v>
      </c>
      <c r="E388" t="s">
        <v>23</v>
      </c>
      <c r="F388">
        <v>3</v>
      </c>
      <c r="G388" t="s">
        <v>26</v>
      </c>
      <c r="H388">
        <v>7.6</v>
      </c>
      <c r="I388">
        <v>15.5</v>
      </c>
      <c r="J388">
        <v>10</v>
      </c>
      <c r="K388" t="s">
        <v>15</v>
      </c>
      <c r="L388">
        <v>0</v>
      </c>
      <c r="M388" t="s">
        <v>31</v>
      </c>
      <c r="N388" t="s">
        <v>32</v>
      </c>
      <c r="O388">
        <v>1</v>
      </c>
    </row>
    <row r="389" spans="1:15" x14ac:dyDescent="0.2">
      <c r="A389" t="s">
        <v>422</v>
      </c>
      <c r="B389" s="1">
        <v>46004.208333333336</v>
      </c>
      <c r="C389" t="s">
        <v>20</v>
      </c>
      <c r="D389" t="s">
        <v>12</v>
      </c>
      <c r="E389" t="s">
        <v>25</v>
      </c>
      <c r="F389">
        <v>5</v>
      </c>
      <c r="G389" t="s">
        <v>14</v>
      </c>
      <c r="H389">
        <v>5</v>
      </c>
      <c r="I389">
        <v>17.2</v>
      </c>
      <c r="J389">
        <v>12</v>
      </c>
      <c r="K389" t="s">
        <v>15</v>
      </c>
      <c r="L389">
        <v>0</v>
      </c>
      <c r="M389" t="s">
        <v>31</v>
      </c>
      <c r="N389" t="s">
        <v>32</v>
      </c>
      <c r="O389">
        <v>1</v>
      </c>
    </row>
    <row r="390" spans="1:15" x14ac:dyDescent="0.2">
      <c r="A390" t="s">
        <v>423</v>
      </c>
      <c r="B390" s="1">
        <v>46067.791666666664</v>
      </c>
      <c r="C390" t="s">
        <v>11</v>
      </c>
      <c r="D390" t="s">
        <v>17</v>
      </c>
      <c r="E390" t="s">
        <v>25</v>
      </c>
      <c r="F390">
        <v>2</v>
      </c>
      <c r="G390" t="s">
        <v>24</v>
      </c>
      <c r="H390">
        <v>5.9</v>
      </c>
      <c r="I390">
        <v>11.7</v>
      </c>
      <c r="J390">
        <v>11</v>
      </c>
      <c r="K390" t="s">
        <v>15</v>
      </c>
      <c r="L390">
        <v>0</v>
      </c>
      <c r="M390" t="s">
        <v>31</v>
      </c>
      <c r="N390" t="s">
        <v>32</v>
      </c>
      <c r="O390">
        <v>1</v>
      </c>
    </row>
    <row r="391" spans="1:15" x14ac:dyDescent="0.2">
      <c r="A391" t="s">
        <v>424</v>
      </c>
      <c r="B391" s="1">
        <v>46042.875</v>
      </c>
      <c r="C391" t="s">
        <v>11</v>
      </c>
      <c r="D391" t="s">
        <v>16</v>
      </c>
      <c r="E391" t="s">
        <v>25</v>
      </c>
      <c r="F391">
        <v>5</v>
      </c>
      <c r="G391" t="s">
        <v>14</v>
      </c>
      <c r="H391">
        <v>7.9</v>
      </c>
      <c r="I391">
        <v>12</v>
      </c>
      <c r="J391">
        <v>11</v>
      </c>
      <c r="K391" t="s">
        <v>15</v>
      </c>
      <c r="L391">
        <v>0</v>
      </c>
      <c r="M391" t="s">
        <v>31</v>
      </c>
      <c r="N391" t="s">
        <v>32</v>
      </c>
      <c r="O391">
        <v>1</v>
      </c>
    </row>
    <row r="392" spans="1:15" x14ac:dyDescent="0.2">
      <c r="A392" t="s">
        <v>425</v>
      </c>
      <c r="B392" s="1">
        <v>46008</v>
      </c>
      <c r="C392" t="s">
        <v>11</v>
      </c>
      <c r="D392" t="s">
        <v>12</v>
      </c>
      <c r="E392" t="s">
        <v>23</v>
      </c>
      <c r="F392">
        <v>4</v>
      </c>
      <c r="G392" t="s">
        <v>14</v>
      </c>
      <c r="H392">
        <v>1.4</v>
      </c>
      <c r="I392">
        <v>15.8</v>
      </c>
      <c r="J392">
        <v>11</v>
      </c>
      <c r="K392" t="s">
        <v>19</v>
      </c>
      <c r="L392">
        <v>1</v>
      </c>
      <c r="M392" t="s">
        <v>31</v>
      </c>
      <c r="N392" t="s">
        <v>35</v>
      </c>
      <c r="O392">
        <v>1</v>
      </c>
    </row>
    <row r="393" spans="1:15" x14ac:dyDescent="0.2">
      <c r="A393" t="s">
        <v>426</v>
      </c>
      <c r="B393" s="1">
        <v>46042.25</v>
      </c>
      <c r="C393" t="s">
        <v>11</v>
      </c>
      <c r="D393" t="s">
        <v>12</v>
      </c>
      <c r="E393" t="s">
        <v>13</v>
      </c>
      <c r="F393">
        <v>5</v>
      </c>
      <c r="G393" t="s">
        <v>14</v>
      </c>
      <c r="H393">
        <v>4.0999999999999996</v>
      </c>
      <c r="I393">
        <v>10.7</v>
      </c>
      <c r="J393">
        <v>12</v>
      </c>
      <c r="K393" t="s">
        <v>15</v>
      </c>
      <c r="L393">
        <v>0</v>
      </c>
      <c r="M393" t="s">
        <v>31</v>
      </c>
      <c r="N393" t="s">
        <v>32</v>
      </c>
      <c r="O393">
        <v>1</v>
      </c>
    </row>
    <row r="394" spans="1:15" x14ac:dyDescent="0.2">
      <c r="A394" t="s">
        <v>427</v>
      </c>
      <c r="B394" s="1">
        <v>45995.5</v>
      </c>
      <c r="C394" t="s">
        <v>11</v>
      </c>
      <c r="D394" t="s">
        <v>12</v>
      </c>
      <c r="E394" t="s">
        <v>23</v>
      </c>
      <c r="F394">
        <v>5</v>
      </c>
      <c r="G394" t="s">
        <v>14</v>
      </c>
      <c r="H394">
        <v>2.9</v>
      </c>
      <c r="I394">
        <v>23.6</v>
      </c>
      <c r="J394">
        <v>10</v>
      </c>
      <c r="K394" t="s">
        <v>19</v>
      </c>
      <c r="L394">
        <v>1</v>
      </c>
      <c r="M394" t="s">
        <v>31</v>
      </c>
      <c r="N394" t="s">
        <v>35</v>
      </c>
      <c r="O394">
        <v>1</v>
      </c>
    </row>
    <row r="395" spans="1:15" x14ac:dyDescent="0.2">
      <c r="A395" t="s">
        <v>428</v>
      </c>
      <c r="B395" s="1">
        <v>46031.083333333336</v>
      </c>
      <c r="C395" t="s">
        <v>11</v>
      </c>
      <c r="D395" t="s">
        <v>16</v>
      </c>
      <c r="E395" t="s">
        <v>13</v>
      </c>
      <c r="F395">
        <v>4</v>
      </c>
      <c r="G395" t="s">
        <v>14</v>
      </c>
      <c r="H395">
        <v>0.3</v>
      </c>
      <c r="I395">
        <v>19.2</v>
      </c>
      <c r="J395">
        <v>10</v>
      </c>
      <c r="K395" t="s">
        <v>19</v>
      </c>
      <c r="L395">
        <v>1</v>
      </c>
      <c r="M395" t="s">
        <v>31</v>
      </c>
      <c r="N395" t="s">
        <v>41</v>
      </c>
      <c r="O395">
        <v>1</v>
      </c>
    </row>
    <row r="396" spans="1:15" x14ac:dyDescent="0.2">
      <c r="A396" t="s">
        <v>429</v>
      </c>
      <c r="B396" s="1">
        <v>46056.916666666664</v>
      </c>
      <c r="C396" t="s">
        <v>11</v>
      </c>
      <c r="D396" t="s">
        <v>12</v>
      </c>
      <c r="E396" t="s">
        <v>21</v>
      </c>
      <c r="F396">
        <v>5</v>
      </c>
      <c r="G396" t="s">
        <v>14</v>
      </c>
      <c r="H396">
        <v>5.0999999999999996</v>
      </c>
      <c r="I396">
        <v>19.5</v>
      </c>
      <c r="J396">
        <v>11</v>
      </c>
      <c r="K396" t="s">
        <v>15</v>
      </c>
      <c r="L396">
        <v>0</v>
      </c>
      <c r="M396" t="s">
        <v>31</v>
      </c>
      <c r="N396" t="s">
        <v>32</v>
      </c>
      <c r="O396">
        <v>1</v>
      </c>
    </row>
    <row r="397" spans="1:15" x14ac:dyDescent="0.2">
      <c r="A397" t="s">
        <v>430</v>
      </c>
      <c r="B397" s="1">
        <v>46006.083333333336</v>
      </c>
      <c r="C397" t="s">
        <v>11</v>
      </c>
      <c r="D397" t="s">
        <v>17</v>
      </c>
      <c r="E397" t="s">
        <v>23</v>
      </c>
      <c r="F397">
        <v>5</v>
      </c>
      <c r="G397" t="s">
        <v>14</v>
      </c>
      <c r="H397">
        <v>10.5</v>
      </c>
      <c r="I397">
        <v>4.8</v>
      </c>
      <c r="J397">
        <v>11</v>
      </c>
      <c r="K397" t="s">
        <v>15</v>
      </c>
      <c r="L397">
        <v>0</v>
      </c>
      <c r="M397" t="s">
        <v>31</v>
      </c>
      <c r="N397" t="s">
        <v>32</v>
      </c>
      <c r="O397">
        <v>1</v>
      </c>
    </row>
    <row r="398" spans="1:15" x14ac:dyDescent="0.2">
      <c r="A398" t="s">
        <v>431</v>
      </c>
      <c r="B398" s="1">
        <v>46001.708333333336</v>
      </c>
      <c r="C398" t="s">
        <v>11</v>
      </c>
      <c r="D398" t="s">
        <v>16</v>
      </c>
      <c r="E398" t="s">
        <v>13</v>
      </c>
      <c r="F398">
        <v>5</v>
      </c>
      <c r="G398" t="s">
        <v>14</v>
      </c>
      <c r="H398">
        <v>0.1</v>
      </c>
      <c r="I398">
        <v>11.9</v>
      </c>
      <c r="J398">
        <v>10</v>
      </c>
      <c r="K398" t="s">
        <v>19</v>
      </c>
      <c r="L398">
        <v>1</v>
      </c>
      <c r="M398" t="s">
        <v>31</v>
      </c>
      <c r="N398" t="s">
        <v>41</v>
      </c>
      <c r="O398">
        <v>1</v>
      </c>
    </row>
    <row r="399" spans="1:15" x14ac:dyDescent="0.2">
      <c r="A399" t="s">
        <v>432</v>
      </c>
      <c r="B399" s="1">
        <v>46068.083333333336</v>
      </c>
      <c r="C399" t="s">
        <v>11</v>
      </c>
      <c r="D399" t="s">
        <v>12</v>
      </c>
      <c r="E399" t="s">
        <v>13</v>
      </c>
      <c r="F399">
        <v>5</v>
      </c>
      <c r="G399" t="s">
        <v>14</v>
      </c>
      <c r="H399">
        <v>4.0999999999999996</v>
      </c>
      <c r="I399">
        <v>10.1</v>
      </c>
      <c r="J399">
        <v>11</v>
      </c>
      <c r="K399" t="s">
        <v>15</v>
      </c>
      <c r="L399">
        <v>0</v>
      </c>
      <c r="M399" t="s">
        <v>31</v>
      </c>
      <c r="N399" t="s">
        <v>32</v>
      </c>
      <c r="O399">
        <v>1</v>
      </c>
    </row>
    <row r="400" spans="1:15" x14ac:dyDescent="0.2">
      <c r="A400" t="s">
        <v>433</v>
      </c>
      <c r="B400" s="1">
        <v>46043.125</v>
      </c>
      <c r="C400" t="s">
        <v>11</v>
      </c>
      <c r="D400" t="s">
        <v>16</v>
      </c>
      <c r="E400" t="s">
        <v>25</v>
      </c>
      <c r="F400">
        <v>3</v>
      </c>
      <c r="G400" t="s">
        <v>26</v>
      </c>
      <c r="H400">
        <v>5.8</v>
      </c>
      <c r="I400">
        <v>4.5</v>
      </c>
      <c r="J400">
        <v>11</v>
      </c>
      <c r="K400" t="s">
        <v>15</v>
      </c>
      <c r="L400">
        <v>0</v>
      </c>
      <c r="M400" t="s">
        <v>31</v>
      </c>
      <c r="N400" t="s">
        <v>32</v>
      </c>
      <c r="O400">
        <v>1</v>
      </c>
    </row>
    <row r="401" spans="1:15" x14ac:dyDescent="0.2">
      <c r="A401" t="s">
        <v>434</v>
      </c>
      <c r="B401" s="1">
        <v>46005.875</v>
      </c>
      <c r="C401" t="s">
        <v>11</v>
      </c>
      <c r="D401" t="s">
        <v>16</v>
      </c>
      <c r="E401" t="s">
        <v>25</v>
      </c>
      <c r="F401">
        <v>5</v>
      </c>
      <c r="G401" t="s">
        <v>14</v>
      </c>
      <c r="H401">
        <v>4.5</v>
      </c>
      <c r="I401">
        <v>15.4</v>
      </c>
      <c r="J401">
        <v>10</v>
      </c>
      <c r="K401" t="s">
        <v>15</v>
      </c>
      <c r="L401">
        <v>0</v>
      </c>
      <c r="M401" t="s">
        <v>31</v>
      </c>
      <c r="N401" t="s">
        <v>32</v>
      </c>
      <c r="O401">
        <v>1</v>
      </c>
    </row>
    <row r="402" spans="1:15" x14ac:dyDescent="0.2">
      <c r="A402" t="s">
        <v>435</v>
      </c>
      <c r="B402" s="1">
        <v>46009.958333333336</v>
      </c>
      <c r="C402" t="s">
        <v>20</v>
      </c>
      <c r="D402" t="s">
        <v>12</v>
      </c>
      <c r="E402" t="s">
        <v>23</v>
      </c>
      <c r="F402">
        <v>2</v>
      </c>
      <c r="G402" t="s">
        <v>24</v>
      </c>
      <c r="H402">
        <v>3.9</v>
      </c>
      <c r="I402">
        <v>8.1999999999999993</v>
      </c>
      <c r="J402">
        <v>12</v>
      </c>
      <c r="K402" t="s">
        <v>19</v>
      </c>
      <c r="L402">
        <v>1</v>
      </c>
      <c r="M402" t="s">
        <v>31</v>
      </c>
      <c r="N402" t="s">
        <v>35</v>
      </c>
      <c r="O402">
        <v>1</v>
      </c>
    </row>
    <row r="403" spans="1:15" x14ac:dyDescent="0.2">
      <c r="A403" t="s">
        <v>436</v>
      </c>
      <c r="B403" s="1">
        <v>46037.291666666664</v>
      </c>
      <c r="C403" t="s">
        <v>11</v>
      </c>
      <c r="D403" t="s">
        <v>12</v>
      </c>
      <c r="E403" t="s">
        <v>13</v>
      </c>
      <c r="F403">
        <v>2</v>
      </c>
      <c r="G403" t="s">
        <v>24</v>
      </c>
      <c r="H403">
        <v>1</v>
      </c>
      <c r="I403">
        <v>17.7</v>
      </c>
      <c r="J403">
        <v>11</v>
      </c>
      <c r="K403" t="s">
        <v>19</v>
      </c>
      <c r="L403">
        <v>1</v>
      </c>
      <c r="M403" t="s">
        <v>31</v>
      </c>
      <c r="N403" t="s">
        <v>41</v>
      </c>
      <c r="O403">
        <v>1</v>
      </c>
    </row>
    <row r="404" spans="1:15" x14ac:dyDescent="0.2">
      <c r="A404" t="s">
        <v>437</v>
      </c>
      <c r="B404" s="1">
        <v>46027.125</v>
      </c>
      <c r="C404" t="s">
        <v>11</v>
      </c>
      <c r="D404" t="s">
        <v>12</v>
      </c>
      <c r="E404" t="s">
        <v>23</v>
      </c>
      <c r="F404">
        <v>5</v>
      </c>
      <c r="G404" t="s">
        <v>14</v>
      </c>
      <c r="H404">
        <v>4.8</v>
      </c>
      <c r="I404">
        <v>3.9</v>
      </c>
      <c r="J404">
        <v>12</v>
      </c>
      <c r="K404" t="s">
        <v>15</v>
      </c>
      <c r="L404">
        <v>0</v>
      </c>
      <c r="M404" t="s">
        <v>31</v>
      </c>
      <c r="N404" t="s">
        <v>32</v>
      </c>
      <c r="O404">
        <v>1</v>
      </c>
    </row>
    <row r="405" spans="1:15" x14ac:dyDescent="0.2">
      <c r="A405" t="s">
        <v>438</v>
      </c>
      <c r="B405" s="1">
        <v>46034.916666666664</v>
      </c>
      <c r="C405" t="s">
        <v>11</v>
      </c>
      <c r="D405" t="s">
        <v>16</v>
      </c>
      <c r="E405" t="s">
        <v>23</v>
      </c>
      <c r="F405">
        <v>4</v>
      </c>
      <c r="G405" t="s">
        <v>14</v>
      </c>
      <c r="H405">
        <v>2.2999999999999998</v>
      </c>
      <c r="I405">
        <v>26.3</v>
      </c>
      <c r="J405">
        <v>11</v>
      </c>
      <c r="K405" t="s">
        <v>19</v>
      </c>
      <c r="L405">
        <v>1</v>
      </c>
      <c r="M405" t="s">
        <v>55</v>
      </c>
      <c r="N405" t="s">
        <v>35</v>
      </c>
      <c r="O405">
        <v>1</v>
      </c>
    </row>
    <row r="406" spans="1:15" x14ac:dyDescent="0.2">
      <c r="A406" t="s">
        <v>439</v>
      </c>
      <c r="B406" s="1">
        <v>46017.166666666664</v>
      </c>
      <c r="C406" t="s">
        <v>11</v>
      </c>
      <c r="D406" t="s">
        <v>16</v>
      </c>
      <c r="E406" t="s">
        <v>25</v>
      </c>
      <c r="F406">
        <v>5</v>
      </c>
      <c r="G406" t="s">
        <v>14</v>
      </c>
      <c r="H406">
        <v>0.1</v>
      </c>
      <c r="I406">
        <v>5.3</v>
      </c>
      <c r="J406">
        <v>11</v>
      </c>
      <c r="K406" t="s">
        <v>19</v>
      </c>
      <c r="L406">
        <v>1</v>
      </c>
      <c r="M406" t="s">
        <v>31</v>
      </c>
      <c r="N406" t="s">
        <v>41</v>
      </c>
      <c r="O406">
        <v>1</v>
      </c>
    </row>
    <row r="407" spans="1:15" x14ac:dyDescent="0.2">
      <c r="A407" t="s">
        <v>440</v>
      </c>
      <c r="B407" s="1">
        <v>46039</v>
      </c>
      <c r="C407" t="s">
        <v>11</v>
      </c>
      <c r="D407" t="s">
        <v>16</v>
      </c>
      <c r="E407" t="s">
        <v>25</v>
      </c>
      <c r="F407">
        <v>5</v>
      </c>
      <c r="G407" t="s">
        <v>14</v>
      </c>
      <c r="H407">
        <v>7.2</v>
      </c>
      <c r="I407">
        <v>14.3</v>
      </c>
      <c r="J407">
        <v>11</v>
      </c>
      <c r="K407" t="s">
        <v>15</v>
      </c>
      <c r="L407">
        <v>0</v>
      </c>
      <c r="M407" t="s">
        <v>31</v>
      </c>
      <c r="N407" t="s">
        <v>32</v>
      </c>
      <c r="O407">
        <v>1</v>
      </c>
    </row>
    <row r="408" spans="1:15" x14ac:dyDescent="0.2">
      <c r="A408" t="s">
        <v>441</v>
      </c>
      <c r="B408" s="1">
        <v>46028.375</v>
      </c>
      <c r="C408" t="s">
        <v>11</v>
      </c>
      <c r="D408" t="s">
        <v>17</v>
      </c>
      <c r="E408" t="s">
        <v>23</v>
      </c>
      <c r="F408">
        <v>5</v>
      </c>
      <c r="G408" t="s">
        <v>14</v>
      </c>
      <c r="H408">
        <v>6.6</v>
      </c>
      <c r="I408">
        <v>18.8</v>
      </c>
      <c r="J408">
        <v>9</v>
      </c>
      <c r="K408" t="s">
        <v>15</v>
      </c>
      <c r="L408">
        <v>0</v>
      </c>
      <c r="M408" t="s">
        <v>31</v>
      </c>
      <c r="N408" t="s">
        <v>32</v>
      </c>
      <c r="O408">
        <v>1</v>
      </c>
    </row>
    <row r="409" spans="1:15" x14ac:dyDescent="0.2">
      <c r="A409" t="s">
        <v>442</v>
      </c>
      <c r="B409" s="1">
        <v>46068.458333333336</v>
      </c>
      <c r="C409" t="s">
        <v>22</v>
      </c>
      <c r="D409" t="s">
        <v>17</v>
      </c>
      <c r="E409" t="s">
        <v>13</v>
      </c>
      <c r="F409">
        <v>5</v>
      </c>
      <c r="G409" t="s">
        <v>14</v>
      </c>
      <c r="H409">
        <v>4.3</v>
      </c>
      <c r="I409">
        <v>7.9</v>
      </c>
      <c r="J409">
        <v>12</v>
      </c>
      <c r="K409" t="s">
        <v>15</v>
      </c>
      <c r="L409">
        <v>0</v>
      </c>
      <c r="M409" t="s">
        <v>31</v>
      </c>
      <c r="N409" t="s">
        <v>32</v>
      </c>
      <c r="O409">
        <v>1</v>
      </c>
    </row>
    <row r="410" spans="1:15" x14ac:dyDescent="0.2">
      <c r="A410" t="s">
        <v>443</v>
      </c>
      <c r="B410" s="1">
        <v>46035.166666666664</v>
      </c>
      <c r="C410" t="s">
        <v>11</v>
      </c>
      <c r="D410" t="s">
        <v>16</v>
      </c>
      <c r="E410" t="s">
        <v>18</v>
      </c>
      <c r="F410">
        <v>3</v>
      </c>
      <c r="G410" t="s">
        <v>26</v>
      </c>
      <c r="H410">
        <v>4.8</v>
      </c>
      <c r="I410">
        <v>19.3</v>
      </c>
      <c r="J410">
        <v>12</v>
      </c>
      <c r="K410" t="s">
        <v>15</v>
      </c>
      <c r="L410">
        <v>0</v>
      </c>
      <c r="M410" t="s">
        <v>31</v>
      </c>
      <c r="N410" t="s">
        <v>32</v>
      </c>
      <c r="O410">
        <v>1</v>
      </c>
    </row>
    <row r="411" spans="1:15" x14ac:dyDescent="0.2">
      <c r="A411" t="s">
        <v>444</v>
      </c>
      <c r="B411" s="1">
        <v>46023.083333333336</v>
      </c>
      <c r="C411" t="s">
        <v>20</v>
      </c>
      <c r="D411" t="s">
        <v>17</v>
      </c>
      <c r="E411" t="s">
        <v>23</v>
      </c>
      <c r="F411">
        <v>2</v>
      </c>
      <c r="G411" t="s">
        <v>24</v>
      </c>
      <c r="H411">
        <v>6.9</v>
      </c>
      <c r="I411">
        <v>2.7</v>
      </c>
      <c r="J411">
        <v>11</v>
      </c>
      <c r="K411" t="s">
        <v>15</v>
      </c>
      <c r="L411">
        <v>0</v>
      </c>
      <c r="M411" t="s">
        <v>31</v>
      </c>
      <c r="N411" t="s">
        <v>32</v>
      </c>
      <c r="O411">
        <v>1</v>
      </c>
    </row>
    <row r="412" spans="1:15" x14ac:dyDescent="0.2">
      <c r="A412" t="s">
        <v>445</v>
      </c>
      <c r="B412" s="1">
        <v>46062.458333333336</v>
      </c>
      <c r="C412" t="s">
        <v>11</v>
      </c>
      <c r="D412" t="s">
        <v>12</v>
      </c>
      <c r="E412" t="s">
        <v>25</v>
      </c>
      <c r="F412">
        <v>4</v>
      </c>
      <c r="G412" t="s">
        <v>14</v>
      </c>
      <c r="H412">
        <v>4.8</v>
      </c>
      <c r="I412">
        <v>24.1</v>
      </c>
      <c r="J412">
        <v>10</v>
      </c>
      <c r="K412" t="s">
        <v>15</v>
      </c>
      <c r="L412">
        <v>0</v>
      </c>
      <c r="M412" t="s">
        <v>55</v>
      </c>
      <c r="N412" t="s">
        <v>32</v>
      </c>
      <c r="O412">
        <v>1</v>
      </c>
    </row>
    <row r="413" spans="1:15" x14ac:dyDescent="0.2">
      <c r="A413" t="s">
        <v>446</v>
      </c>
      <c r="B413" s="1">
        <v>46059.041666666664</v>
      </c>
      <c r="C413" t="s">
        <v>11</v>
      </c>
      <c r="D413" t="s">
        <v>12</v>
      </c>
      <c r="E413" t="s">
        <v>13</v>
      </c>
      <c r="F413">
        <v>3</v>
      </c>
      <c r="G413" t="s">
        <v>26</v>
      </c>
      <c r="H413">
        <v>6.5</v>
      </c>
      <c r="I413">
        <v>12.6</v>
      </c>
      <c r="J413">
        <v>11</v>
      </c>
      <c r="K413" t="s">
        <v>15</v>
      </c>
      <c r="L413">
        <v>0</v>
      </c>
      <c r="M413" t="s">
        <v>31</v>
      </c>
      <c r="N413" t="s">
        <v>32</v>
      </c>
      <c r="O413">
        <v>1</v>
      </c>
    </row>
    <row r="414" spans="1:15" x14ac:dyDescent="0.2">
      <c r="A414" t="s">
        <v>447</v>
      </c>
      <c r="B414" s="1">
        <v>46015.166666666664</v>
      </c>
      <c r="C414" t="s">
        <v>11</v>
      </c>
      <c r="D414" t="s">
        <v>12</v>
      </c>
      <c r="E414" t="s">
        <v>23</v>
      </c>
      <c r="F414">
        <v>1</v>
      </c>
      <c r="G414" t="s">
        <v>24</v>
      </c>
      <c r="H414">
        <v>3.5</v>
      </c>
      <c r="I414">
        <v>7.7</v>
      </c>
      <c r="J414">
        <v>9</v>
      </c>
      <c r="K414" t="s">
        <v>19</v>
      </c>
      <c r="L414">
        <v>1</v>
      </c>
      <c r="M414" t="s">
        <v>31</v>
      </c>
      <c r="N414" t="s">
        <v>35</v>
      </c>
      <c r="O414">
        <v>1</v>
      </c>
    </row>
    <row r="415" spans="1:15" x14ac:dyDescent="0.2">
      <c r="A415" t="s">
        <v>448</v>
      </c>
      <c r="B415" s="1">
        <v>46047.208333333336</v>
      </c>
      <c r="C415" t="s">
        <v>11</v>
      </c>
      <c r="D415" t="s">
        <v>12</v>
      </c>
      <c r="E415" t="s">
        <v>13</v>
      </c>
      <c r="F415">
        <v>4</v>
      </c>
      <c r="G415" t="s">
        <v>14</v>
      </c>
      <c r="H415">
        <v>7.5</v>
      </c>
      <c r="I415">
        <v>10.1</v>
      </c>
      <c r="J415">
        <v>11</v>
      </c>
      <c r="K415" t="s">
        <v>15</v>
      </c>
      <c r="L415">
        <v>0</v>
      </c>
      <c r="M415" t="s">
        <v>31</v>
      </c>
      <c r="N415" t="s">
        <v>32</v>
      </c>
      <c r="O415">
        <v>1</v>
      </c>
    </row>
    <row r="416" spans="1:15" x14ac:dyDescent="0.2">
      <c r="A416" t="s">
        <v>449</v>
      </c>
      <c r="B416" s="1">
        <v>46013.375</v>
      </c>
      <c r="C416" t="s">
        <v>11</v>
      </c>
      <c r="D416" t="s">
        <v>16</v>
      </c>
      <c r="E416" t="s">
        <v>23</v>
      </c>
      <c r="F416">
        <v>5</v>
      </c>
      <c r="G416" t="s">
        <v>14</v>
      </c>
      <c r="H416">
        <v>5</v>
      </c>
      <c r="I416">
        <v>19</v>
      </c>
      <c r="J416">
        <v>9</v>
      </c>
      <c r="K416" t="s">
        <v>15</v>
      </c>
      <c r="L416">
        <v>0</v>
      </c>
      <c r="M416" t="s">
        <v>31</v>
      </c>
      <c r="N416" t="s">
        <v>32</v>
      </c>
      <c r="O416">
        <v>1</v>
      </c>
    </row>
    <row r="417" spans="1:15" x14ac:dyDescent="0.2">
      <c r="A417" t="s">
        <v>450</v>
      </c>
      <c r="B417" s="1">
        <v>46022.458333333336</v>
      </c>
      <c r="C417" t="s">
        <v>11</v>
      </c>
      <c r="D417" t="s">
        <v>17</v>
      </c>
      <c r="E417" t="s">
        <v>18</v>
      </c>
      <c r="F417">
        <v>5</v>
      </c>
      <c r="G417" t="s">
        <v>14</v>
      </c>
      <c r="H417">
        <v>4.7</v>
      </c>
      <c r="I417">
        <v>7.8</v>
      </c>
      <c r="J417">
        <v>11</v>
      </c>
      <c r="K417" t="s">
        <v>15</v>
      </c>
      <c r="L417">
        <v>0</v>
      </c>
      <c r="M417" t="s">
        <v>31</v>
      </c>
      <c r="N417" t="s">
        <v>32</v>
      </c>
      <c r="O417">
        <v>1</v>
      </c>
    </row>
    <row r="418" spans="1:15" x14ac:dyDescent="0.2">
      <c r="A418" t="s">
        <v>451</v>
      </c>
      <c r="B418" s="1">
        <v>46006.666666666664</v>
      </c>
      <c r="C418" t="s">
        <v>11</v>
      </c>
      <c r="D418" t="s">
        <v>12</v>
      </c>
      <c r="E418" t="s">
        <v>23</v>
      </c>
      <c r="F418">
        <v>4</v>
      </c>
      <c r="G418" t="s">
        <v>14</v>
      </c>
      <c r="H418">
        <v>1</v>
      </c>
      <c r="I418">
        <v>6.5</v>
      </c>
      <c r="J418">
        <v>12</v>
      </c>
      <c r="K418" t="s">
        <v>19</v>
      </c>
      <c r="L418">
        <v>1</v>
      </c>
      <c r="M418" t="s">
        <v>31</v>
      </c>
      <c r="N418" t="s">
        <v>41</v>
      </c>
      <c r="O418">
        <v>1</v>
      </c>
    </row>
    <row r="419" spans="1:15" x14ac:dyDescent="0.2">
      <c r="A419" t="s">
        <v>452</v>
      </c>
      <c r="B419" s="1">
        <v>46040.708333333336</v>
      </c>
      <c r="C419" t="s">
        <v>11</v>
      </c>
      <c r="D419" t="s">
        <v>12</v>
      </c>
      <c r="E419" t="s">
        <v>13</v>
      </c>
      <c r="F419">
        <v>5</v>
      </c>
      <c r="G419" t="s">
        <v>14</v>
      </c>
      <c r="H419">
        <v>4.9000000000000004</v>
      </c>
      <c r="I419">
        <v>10.7</v>
      </c>
      <c r="J419">
        <v>11</v>
      </c>
      <c r="K419" t="s">
        <v>15</v>
      </c>
      <c r="L419">
        <v>0</v>
      </c>
      <c r="M419" t="s">
        <v>31</v>
      </c>
      <c r="N419" t="s">
        <v>32</v>
      </c>
      <c r="O419">
        <v>1</v>
      </c>
    </row>
    <row r="420" spans="1:15" x14ac:dyDescent="0.2">
      <c r="A420" t="s">
        <v>453</v>
      </c>
      <c r="B420" s="1">
        <v>46070.666666666664</v>
      </c>
      <c r="C420" t="s">
        <v>11</v>
      </c>
      <c r="D420" t="s">
        <v>16</v>
      </c>
      <c r="E420" t="s">
        <v>13</v>
      </c>
      <c r="F420">
        <v>3</v>
      </c>
      <c r="G420" t="s">
        <v>26</v>
      </c>
      <c r="H420">
        <v>2.1</v>
      </c>
      <c r="I420">
        <v>3.1</v>
      </c>
      <c r="J420">
        <v>12</v>
      </c>
      <c r="K420" t="s">
        <v>19</v>
      </c>
      <c r="L420">
        <v>1</v>
      </c>
      <c r="M420" t="s">
        <v>31</v>
      </c>
      <c r="N420" t="s">
        <v>35</v>
      </c>
      <c r="O420">
        <v>1</v>
      </c>
    </row>
    <row r="421" spans="1:15" x14ac:dyDescent="0.2">
      <c r="A421" t="s">
        <v>454</v>
      </c>
      <c r="B421" s="1">
        <v>46024.708333333336</v>
      </c>
      <c r="C421" t="s">
        <v>11</v>
      </c>
      <c r="D421" t="s">
        <v>17</v>
      </c>
      <c r="E421" t="s">
        <v>23</v>
      </c>
      <c r="F421">
        <v>1</v>
      </c>
      <c r="G421" t="s">
        <v>24</v>
      </c>
      <c r="H421">
        <v>2.6</v>
      </c>
      <c r="I421">
        <v>27.1</v>
      </c>
      <c r="J421">
        <v>10</v>
      </c>
      <c r="K421" t="s">
        <v>19</v>
      </c>
      <c r="L421">
        <v>1</v>
      </c>
      <c r="M421" t="s">
        <v>55</v>
      </c>
      <c r="N421" t="s">
        <v>35</v>
      </c>
      <c r="O421">
        <v>1</v>
      </c>
    </row>
    <row r="422" spans="1:15" x14ac:dyDescent="0.2">
      <c r="A422" t="s">
        <v>455</v>
      </c>
      <c r="B422" s="1">
        <v>46022.25</v>
      </c>
      <c r="C422" t="s">
        <v>11</v>
      </c>
      <c r="D422" t="s">
        <v>12</v>
      </c>
      <c r="E422" t="s">
        <v>13</v>
      </c>
      <c r="F422">
        <v>5</v>
      </c>
      <c r="G422" t="s">
        <v>14</v>
      </c>
      <c r="H422">
        <v>2.2000000000000002</v>
      </c>
      <c r="I422">
        <v>8</v>
      </c>
      <c r="J422">
        <v>10</v>
      </c>
      <c r="K422" t="s">
        <v>19</v>
      </c>
      <c r="L422">
        <v>1</v>
      </c>
      <c r="M422" t="s">
        <v>31</v>
      </c>
      <c r="N422" t="s">
        <v>35</v>
      </c>
      <c r="O422">
        <v>1</v>
      </c>
    </row>
    <row r="423" spans="1:15" x14ac:dyDescent="0.2">
      <c r="A423" t="s">
        <v>456</v>
      </c>
      <c r="B423" s="1">
        <v>46003.125</v>
      </c>
      <c r="C423" t="s">
        <v>11</v>
      </c>
      <c r="D423" t="s">
        <v>16</v>
      </c>
      <c r="E423" t="s">
        <v>13</v>
      </c>
      <c r="F423">
        <v>5</v>
      </c>
      <c r="G423" t="s">
        <v>14</v>
      </c>
      <c r="H423">
        <v>1.5</v>
      </c>
      <c r="I423">
        <v>19.2</v>
      </c>
      <c r="J423">
        <v>11</v>
      </c>
      <c r="K423" t="s">
        <v>19</v>
      </c>
      <c r="L423">
        <v>1</v>
      </c>
      <c r="M423" t="s">
        <v>31</v>
      </c>
      <c r="N423" t="s">
        <v>35</v>
      </c>
      <c r="O423">
        <v>1</v>
      </c>
    </row>
    <row r="424" spans="1:15" x14ac:dyDescent="0.2">
      <c r="A424" t="s">
        <v>457</v>
      </c>
      <c r="B424" s="1">
        <v>46033.583333333336</v>
      </c>
      <c r="C424" t="s">
        <v>20</v>
      </c>
      <c r="D424" t="s">
        <v>12</v>
      </c>
      <c r="E424" t="s">
        <v>21</v>
      </c>
      <c r="F424">
        <v>5</v>
      </c>
      <c r="G424" t="s">
        <v>14</v>
      </c>
      <c r="H424">
        <v>9.5</v>
      </c>
      <c r="I424">
        <v>14.2</v>
      </c>
      <c r="J424">
        <v>11</v>
      </c>
      <c r="K424" t="s">
        <v>15</v>
      </c>
      <c r="L424">
        <v>0</v>
      </c>
      <c r="M424" t="s">
        <v>31</v>
      </c>
      <c r="N424" t="s">
        <v>32</v>
      </c>
      <c r="O424">
        <v>1</v>
      </c>
    </row>
    <row r="425" spans="1:15" x14ac:dyDescent="0.2">
      <c r="A425" t="s">
        <v>458</v>
      </c>
      <c r="B425" s="1">
        <v>46078.375</v>
      </c>
      <c r="C425" t="s">
        <v>11</v>
      </c>
      <c r="D425" t="s">
        <v>12</v>
      </c>
      <c r="E425" t="s">
        <v>23</v>
      </c>
      <c r="F425">
        <v>2</v>
      </c>
      <c r="G425" t="s">
        <v>24</v>
      </c>
      <c r="H425">
        <v>7.5</v>
      </c>
      <c r="I425">
        <v>4.5999999999999996</v>
      </c>
      <c r="J425">
        <v>10</v>
      </c>
      <c r="K425" t="s">
        <v>15</v>
      </c>
      <c r="L425">
        <v>0</v>
      </c>
      <c r="M425" t="s">
        <v>31</v>
      </c>
      <c r="N425" t="s">
        <v>32</v>
      </c>
      <c r="O425">
        <v>1</v>
      </c>
    </row>
    <row r="426" spans="1:15" x14ac:dyDescent="0.2">
      <c r="A426" t="s">
        <v>459</v>
      </c>
      <c r="B426" s="1">
        <v>46040.791666666664</v>
      </c>
      <c r="C426" t="s">
        <v>22</v>
      </c>
      <c r="D426" t="s">
        <v>17</v>
      </c>
      <c r="E426" t="s">
        <v>13</v>
      </c>
      <c r="F426">
        <v>5</v>
      </c>
      <c r="G426" t="s">
        <v>14</v>
      </c>
      <c r="H426">
        <v>9</v>
      </c>
      <c r="I426">
        <v>12.5</v>
      </c>
      <c r="J426">
        <v>9</v>
      </c>
      <c r="K426" t="s">
        <v>15</v>
      </c>
      <c r="L426">
        <v>0</v>
      </c>
      <c r="M426" t="s">
        <v>31</v>
      </c>
      <c r="N426" t="s">
        <v>32</v>
      </c>
      <c r="O426">
        <v>1</v>
      </c>
    </row>
    <row r="427" spans="1:15" x14ac:dyDescent="0.2">
      <c r="A427" t="s">
        <v>460</v>
      </c>
      <c r="B427" s="1">
        <v>46019.75</v>
      </c>
      <c r="C427" t="s">
        <v>11</v>
      </c>
      <c r="D427" t="s">
        <v>17</v>
      </c>
      <c r="E427" t="s">
        <v>18</v>
      </c>
      <c r="F427">
        <v>5</v>
      </c>
      <c r="G427" t="s">
        <v>14</v>
      </c>
      <c r="H427">
        <v>1.1000000000000001</v>
      </c>
      <c r="I427">
        <v>18.8</v>
      </c>
      <c r="J427">
        <v>10</v>
      </c>
      <c r="K427" t="s">
        <v>19</v>
      </c>
      <c r="L427">
        <v>1</v>
      </c>
      <c r="M427" t="s">
        <v>31</v>
      </c>
      <c r="N427" t="s">
        <v>35</v>
      </c>
      <c r="O427">
        <v>1</v>
      </c>
    </row>
    <row r="428" spans="1:15" x14ac:dyDescent="0.2">
      <c r="A428" t="s">
        <v>461</v>
      </c>
      <c r="B428" s="1">
        <v>46036.666666666664</v>
      </c>
      <c r="C428" t="s">
        <v>11</v>
      </c>
      <c r="D428" t="s">
        <v>12</v>
      </c>
      <c r="E428" t="s">
        <v>13</v>
      </c>
      <c r="F428">
        <v>5</v>
      </c>
      <c r="G428" t="s">
        <v>14</v>
      </c>
      <c r="H428">
        <v>4.4000000000000004</v>
      </c>
      <c r="I428">
        <v>11</v>
      </c>
      <c r="J428">
        <v>10</v>
      </c>
      <c r="K428" t="s">
        <v>15</v>
      </c>
      <c r="L428">
        <v>0</v>
      </c>
      <c r="M428" t="s">
        <v>31</v>
      </c>
      <c r="N428" t="s">
        <v>32</v>
      </c>
      <c r="O428">
        <v>1</v>
      </c>
    </row>
    <row r="429" spans="1:15" x14ac:dyDescent="0.2">
      <c r="A429" t="s">
        <v>462</v>
      </c>
      <c r="B429" s="1">
        <v>46038.666666666664</v>
      </c>
      <c r="C429" t="s">
        <v>11</v>
      </c>
      <c r="D429" t="s">
        <v>17</v>
      </c>
      <c r="E429" t="s">
        <v>18</v>
      </c>
      <c r="F429">
        <v>5</v>
      </c>
      <c r="G429" t="s">
        <v>14</v>
      </c>
      <c r="H429">
        <v>1</v>
      </c>
      <c r="I429">
        <v>22</v>
      </c>
      <c r="J429">
        <v>9</v>
      </c>
      <c r="K429" t="s">
        <v>19</v>
      </c>
      <c r="L429">
        <v>1</v>
      </c>
      <c r="M429" t="s">
        <v>31</v>
      </c>
      <c r="N429" t="s">
        <v>41</v>
      </c>
      <c r="O429">
        <v>1</v>
      </c>
    </row>
    <row r="430" spans="1:15" x14ac:dyDescent="0.2">
      <c r="A430" t="s">
        <v>463</v>
      </c>
      <c r="B430" s="1">
        <v>46005.083333333336</v>
      </c>
      <c r="C430" t="s">
        <v>11</v>
      </c>
      <c r="D430" t="s">
        <v>16</v>
      </c>
      <c r="E430" t="s">
        <v>23</v>
      </c>
      <c r="F430">
        <v>5</v>
      </c>
      <c r="G430" t="s">
        <v>14</v>
      </c>
      <c r="H430">
        <v>2.5</v>
      </c>
      <c r="I430">
        <v>20.7</v>
      </c>
      <c r="J430">
        <v>10</v>
      </c>
      <c r="K430" t="s">
        <v>19</v>
      </c>
      <c r="L430">
        <v>1</v>
      </c>
      <c r="M430" t="s">
        <v>31</v>
      </c>
      <c r="N430" t="s">
        <v>35</v>
      </c>
      <c r="O430">
        <v>1</v>
      </c>
    </row>
    <row r="431" spans="1:15" x14ac:dyDescent="0.2">
      <c r="A431" t="s">
        <v>464</v>
      </c>
      <c r="B431" s="1">
        <v>46046.291666666664</v>
      </c>
      <c r="C431" t="s">
        <v>20</v>
      </c>
      <c r="D431" t="s">
        <v>17</v>
      </c>
      <c r="E431" t="s">
        <v>21</v>
      </c>
      <c r="F431">
        <v>5</v>
      </c>
      <c r="G431" t="s">
        <v>14</v>
      </c>
      <c r="H431">
        <v>1.9</v>
      </c>
      <c r="I431">
        <v>19.899999999999999</v>
      </c>
      <c r="J431">
        <v>10</v>
      </c>
      <c r="K431" t="s">
        <v>19</v>
      </c>
      <c r="L431">
        <v>1</v>
      </c>
      <c r="M431" t="s">
        <v>31</v>
      </c>
      <c r="N431" t="s">
        <v>35</v>
      </c>
      <c r="O431">
        <v>1</v>
      </c>
    </row>
    <row r="432" spans="1:15" x14ac:dyDescent="0.2">
      <c r="A432" t="s">
        <v>465</v>
      </c>
      <c r="B432" s="1">
        <v>46080.333333333336</v>
      </c>
      <c r="C432" t="s">
        <v>20</v>
      </c>
      <c r="D432" t="s">
        <v>16</v>
      </c>
      <c r="E432" t="s">
        <v>25</v>
      </c>
      <c r="F432">
        <v>5</v>
      </c>
      <c r="G432" t="s">
        <v>14</v>
      </c>
      <c r="H432">
        <v>7.3</v>
      </c>
      <c r="I432">
        <v>8.8000000000000007</v>
      </c>
      <c r="J432">
        <v>9</v>
      </c>
      <c r="K432" t="s">
        <v>15</v>
      </c>
      <c r="L432">
        <v>0</v>
      </c>
      <c r="M432" t="s">
        <v>31</v>
      </c>
      <c r="N432" t="s">
        <v>32</v>
      </c>
      <c r="O432">
        <v>1</v>
      </c>
    </row>
    <row r="433" spans="1:15" x14ac:dyDescent="0.2">
      <c r="A433" t="s">
        <v>466</v>
      </c>
      <c r="B433" s="1">
        <v>46057.916666666664</v>
      </c>
      <c r="C433" t="s">
        <v>11</v>
      </c>
      <c r="D433" t="s">
        <v>16</v>
      </c>
      <c r="E433" t="s">
        <v>21</v>
      </c>
      <c r="F433">
        <v>5</v>
      </c>
      <c r="G433" t="s">
        <v>14</v>
      </c>
      <c r="H433">
        <v>3.2</v>
      </c>
      <c r="I433">
        <v>3.9</v>
      </c>
      <c r="J433">
        <v>9</v>
      </c>
      <c r="K433" t="s">
        <v>19</v>
      </c>
      <c r="L433">
        <v>1</v>
      </c>
      <c r="M433" t="s">
        <v>31</v>
      </c>
      <c r="N433" t="s">
        <v>35</v>
      </c>
      <c r="O433">
        <v>1</v>
      </c>
    </row>
    <row r="434" spans="1:15" x14ac:dyDescent="0.2">
      <c r="A434" t="s">
        <v>467</v>
      </c>
      <c r="B434" s="1">
        <v>46051.041666666664</v>
      </c>
      <c r="C434" t="s">
        <v>11</v>
      </c>
      <c r="D434" t="s">
        <v>16</v>
      </c>
      <c r="E434" t="s">
        <v>18</v>
      </c>
      <c r="F434">
        <v>5</v>
      </c>
      <c r="G434" t="s">
        <v>14</v>
      </c>
      <c r="H434">
        <v>6.9</v>
      </c>
      <c r="I434">
        <v>7.6</v>
      </c>
      <c r="J434">
        <v>12</v>
      </c>
      <c r="K434" t="s">
        <v>15</v>
      </c>
      <c r="L434">
        <v>0</v>
      </c>
      <c r="M434" t="s">
        <v>31</v>
      </c>
      <c r="N434" t="s">
        <v>32</v>
      </c>
      <c r="O434">
        <v>1</v>
      </c>
    </row>
    <row r="435" spans="1:15" x14ac:dyDescent="0.2">
      <c r="A435" t="s">
        <v>468</v>
      </c>
      <c r="B435" s="1">
        <v>46029.375</v>
      </c>
      <c r="C435" t="s">
        <v>20</v>
      </c>
      <c r="D435" t="s">
        <v>16</v>
      </c>
      <c r="E435" t="s">
        <v>13</v>
      </c>
      <c r="F435">
        <v>4</v>
      </c>
      <c r="G435" t="s">
        <v>14</v>
      </c>
      <c r="H435">
        <v>5.7</v>
      </c>
      <c r="I435">
        <v>14.1</v>
      </c>
      <c r="J435">
        <v>11</v>
      </c>
      <c r="K435" t="s">
        <v>15</v>
      </c>
      <c r="L435">
        <v>0</v>
      </c>
      <c r="M435" t="s">
        <v>31</v>
      </c>
      <c r="N435" t="s">
        <v>32</v>
      </c>
      <c r="O435">
        <v>1</v>
      </c>
    </row>
    <row r="436" spans="1:15" x14ac:dyDescent="0.2">
      <c r="A436" t="s">
        <v>469</v>
      </c>
      <c r="B436" s="1">
        <v>46010.708333333336</v>
      </c>
      <c r="C436" t="s">
        <v>20</v>
      </c>
      <c r="D436" t="s">
        <v>12</v>
      </c>
      <c r="E436" t="s">
        <v>18</v>
      </c>
      <c r="F436">
        <v>5</v>
      </c>
      <c r="G436" t="s">
        <v>14</v>
      </c>
      <c r="H436">
        <v>10</v>
      </c>
      <c r="I436">
        <v>16.899999999999999</v>
      </c>
      <c r="J436">
        <v>12</v>
      </c>
      <c r="K436" t="s">
        <v>15</v>
      </c>
      <c r="L436">
        <v>0</v>
      </c>
      <c r="M436" t="s">
        <v>31</v>
      </c>
      <c r="N436" t="s">
        <v>32</v>
      </c>
      <c r="O436">
        <v>1</v>
      </c>
    </row>
    <row r="437" spans="1:15" x14ac:dyDescent="0.2">
      <c r="A437" t="s">
        <v>470</v>
      </c>
      <c r="B437" s="1">
        <v>45993.375</v>
      </c>
      <c r="C437" t="s">
        <v>11</v>
      </c>
      <c r="D437" t="s">
        <v>12</v>
      </c>
      <c r="E437" t="s">
        <v>23</v>
      </c>
      <c r="F437">
        <v>4</v>
      </c>
      <c r="G437" t="s">
        <v>14</v>
      </c>
      <c r="H437">
        <v>0.5</v>
      </c>
      <c r="I437">
        <v>1</v>
      </c>
      <c r="J437">
        <v>9</v>
      </c>
      <c r="K437" t="s">
        <v>19</v>
      </c>
      <c r="L437">
        <v>1</v>
      </c>
      <c r="M437" t="s">
        <v>31</v>
      </c>
      <c r="N437" t="s">
        <v>41</v>
      </c>
      <c r="O437">
        <v>1</v>
      </c>
    </row>
    <row r="438" spans="1:15" x14ac:dyDescent="0.2">
      <c r="A438" t="s">
        <v>471</v>
      </c>
      <c r="B438" s="1">
        <v>45999.083333333336</v>
      </c>
      <c r="C438" t="s">
        <v>22</v>
      </c>
      <c r="D438" t="s">
        <v>12</v>
      </c>
      <c r="E438" t="s">
        <v>23</v>
      </c>
      <c r="F438">
        <v>3</v>
      </c>
      <c r="G438" t="s">
        <v>26</v>
      </c>
      <c r="H438">
        <v>7.3</v>
      </c>
      <c r="I438">
        <v>12.4</v>
      </c>
      <c r="J438">
        <v>10</v>
      </c>
      <c r="K438" t="s">
        <v>15</v>
      </c>
      <c r="L438">
        <v>0</v>
      </c>
      <c r="M438" t="s">
        <v>31</v>
      </c>
      <c r="N438" t="s">
        <v>32</v>
      </c>
      <c r="O438">
        <v>1</v>
      </c>
    </row>
    <row r="439" spans="1:15" x14ac:dyDescent="0.2">
      <c r="A439" t="s">
        <v>472</v>
      </c>
      <c r="B439" s="1">
        <v>46019.416666666664</v>
      </c>
      <c r="C439" t="s">
        <v>11</v>
      </c>
      <c r="D439" t="s">
        <v>16</v>
      </c>
      <c r="E439" t="s">
        <v>23</v>
      </c>
      <c r="F439">
        <v>5</v>
      </c>
      <c r="G439" t="s">
        <v>14</v>
      </c>
      <c r="H439">
        <v>7.1</v>
      </c>
      <c r="I439">
        <v>13.8</v>
      </c>
      <c r="J439">
        <v>9</v>
      </c>
      <c r="K439" t="s">
        <v>15</v>
      </c>
      <c r="L439">
        <v>0</v>
      </c>
      <c r="M439" t="s">
        <v>31</v>
      </c>
      <c r="N439" t="s">
        <v>32</v>
      </c>
      <c r="O439">
        <v>1</v>
      </c>
    </row>
    <row r="440" spans="1:15" x14ac:dyDescent="0.2">
      <c r="A440" t="s">
        <v>473</v>
      </c>
      <c r="B440" s="1">
        <v>46079.916666666664</v>
      </c>
      <c r="C440" t="s">
        <v>11</v>
      </c>
      <c r="D440" t="s">
        <v>12</v>
      </c>
      <c r="E440" t="s">
        <v>23</v>
      </c>
      <c r="F440">
        <v>5</v>
      </c>
      <c r="G440" t="s">
        <v>14</v>
      </c>
      <c r="H440">
        <v>1.8</v>
      </c>
      <c r="I440">
        <v>10.3</v>
      </c>
      <c r="J440">
        <v>10</v>
      </c>
      <c r="K440" t="s">
        <v>19</v>
      </c>
      <c r="L440">
        <v>1</v>
      </c>
      <c r="M440" t="s">
        <v>31</v>
      </c>
      <c r="N440" t="s">
        <v>35</v>
      </c>
      <c r="O440">
        <v>1</v>
      </c>
    </row>
    <row r="441" spans="1:15" x14ac:dyDescent="0.2">
      <c r="A441" t="s">
        <v>474</v>
      </c>
      <c r="B441" s="1">
        <v>46044.708333333336</v>
      </c>
      <c r="C441" t="s">
        <v>20</v>
      </c>
      <c r="D441" t="s">
        <v>16</v>
      </c>
      <c r="E441" t="s">
        <v>13</v>
      </c>
      <c r="F441">
        <v>5</v>
      </c>
      <c r="G441" t="s">
        <v>14</v>
      </c>
      <c r="H441">
        <v>6.7</v>
      </c>
      <c r="I441">
        <v>22.8</v>
      </c>
      <c r="J441">
        <v>12</v>
      </c>
      <c r="K441" t="s">
        <v>15</v>
      </c>
      <c r="L441">
        <v>0</v>
      </c>
      <c r="M441" t="s">
        <v>31</v>
      </c>
      <c r="N441" t="s">
        <v>32</v>
      </c>
      <c r="O441">
        <v>1</v>
      </c>
    </row>
    <row r="442" spans="1:15" x14ac:dyDescent="0.2">
      <c r="A442" t="s">
        <v>475</v>
      </c>
      <c r="B442" s="1">
        <v>46030.083333333336</v>
      </c>
      <c r="C442" t="s">
        <v>20</v>
      </c>
      <c r="D442" t="s">
        <v>17</v>
      </c>
      <c r="E442" t="s">
        <v>25</v>
      </c>
      <c r="F442">
        <v>4</v>
      </c>
      <c r="G442" t="s">
        <v>14</v>
      </c>
      <c r="H442">
        <v>5</v>
      </c>
      <c r="I442">
        <v>15.9</v>
      </c>
      <c r="J442">
        <v>12</v>
      </c>
      <c r="K442" t="s">
        <v>15</v>
      </c>
      <c r="L442">
        <v>0</v>
      </c>
      <c r="M442" t="s">
        <v>31</v>
      </c>
      <c r="N442" t="s">
        <v>32</v>
      </c>
      <c r="O442">
        <v>1</v>
      </c>
    </row>
    <row r="443" spans="1:15" x14ac:dyDescent="0.2">
      <c r="A443" t="s">
        <v>476</v>
      </c>
      <c r="B443" s="1">
        <v>46050.625</v>
      </c>
      <c r="C443" t="s">
        <v>11</v>
      </c>
      <c r="D443" t="s">
        <v>12</v>
      </c>
      <c r="E443" t="s">
        <v>23</v>
      </c>
      <c r="F443">
        <v>4</v>
      </c>
      <c r="G443" t="s">
        <v>14</v>
      </c>
      <c r="H443">
        <v>3.6</v>
      </c>
      <c r="I443">
        <v>23</v>
      </c>
      <c r="J443">
        <v>12</v>
      </c>
      <c r="K443" t="s">
        <v>19</v>
      </c>
      <c r="L443">
        <v>1</v>
      </c>
      <c r="M443" t="s">
        <v>31</v>
      </c>
      <c r="N443" t="s">
        <v>35</v>
      </c>
      <c r="O443">
        <v>1</v>
      </c>
    </row>
    <row r="444" spans="1:15" x14ac:dyDescent="0.2">
      <c r="A444" t="s">
        <v>477</v>
      </c>
      <c r="B444" s="1">
        <v>45997.25</v>
      </c>
      <c r="C444" t="s">
        <v>11</v>
      </c>
      <c r="D444" t="s">
        <v>16</v>
      </c>
      <c r="E444" t="s">
        <v>21</v>
      </c>
      <c r="F444">
        <v>3</v>
      </c>
      <c r="G444" t="s">
        <v>26</v>
      </c>
      <c r="H444">
        <v>2.1</v>
      </c>
      <c r="I444">
        <v>10.8</v>
      </c>
      <c r="J444">
        <v>10</v>
      </c>
      <c r="K444" t="s">
        <v>19</v>
      </c>
      <c r="L444">
        <v>1</v>
      </c>
      <c r="M444" t="s">
        <v>31</v>
      </c>
      <c r="N444" t="s">
        <v>35</v>
      </c>
      <c r="O444">
        <v>1</v>
      </c>
    </row>
    <row r="445" spans="1:15" x14ac:dyDescent="0.2">
      <c r="A445" t="s">
        <v>478</v>
      </c>
      <c r="B445" s="1">
        <v>46034.375</v>
      </c>
      <c r="C445" t="s">
        <v>11</v>
      </c>
      <c r="D445" t="s">
        <v>16</v>
      </c>
      <c r="E445" t="s">
        <v>21</v>
      </c>
      <c r="F445">
        <v>5</v>
      </c>
      <c r="G445" t="s">
        <v>14</v>
      </c>
      <c r="H445">
        <v>2.4</v>
      </c>
      <c r="I445">
        <v>20</v>
      </c>
      <c r="J445">
        <v>11</v>
      </c>
      <c r="K445" t="s">
        <v>19</v>
      </c>
      <c r="L445">
        <v>1</v>
      </c>
      <c r="M445" t="s">
        <v>31</v>
      </c>
      <c r="N445" t="s">
        <v>35</v>
      </c>
      <c r="O445">
        <v>1</v>
      </c>
    </row>
    <row r="446" spans="1:15" x14ac:dyDescent="0.2">
      <c r="A446" t="s">
        <v>479</v>
      </c>
      <c r="B446" s="1">
        <v>46011.333333333336</v>
      </c>
      <c r="C446" t="s">
        <v>11</v>
      </c>
      <c r="D446" t="s">
        <v>17</v>
      </c>
      <c r="E446" t="s">
        <v>23</v>
      </c>
      <c r="F446">
        <v>5</v>
      </c>
      <c r="G446" t="s">
        <v>14</v>
      </c>
      <c r="H446">
        <v>9.3000000000000007</v>
      </c>
      <c r="I446">
        <v>25.6</v>
      </c>
      <c r="J446">
        <v>11</v>
      </c>
      <c r="K446" t="s">
        <v>15</v>
      </c>
      <c r="L446">
        <v>0</v>
      </c>
      <c r="M446" t="s">
        <v>55</v>
      </c>
      <c r="N446" t="s">
        <v>32</v>
      </c>
      <c r="O446">
        <v>1</v>
      </c>
    </row>
    <row r="447" spans="1:15" x14ac:dyDescent="0.2">
      <c r="A447" t="s">
        <v>480</v>
      </c>
      <c r="B447" s="1">
        <v>46037.458333333336</v>
      </c>
      <c r="C447" t="s">
        <v>11</v>
      </c>
      <c r="D447" t="s">
        <v>12</v>
      </c>
      <c r="E447" t="s">
        <v>23</v>
      </c>
      <c r="F447">
        <v>5</v>
      </c>
      <c r="G447" t="s">
        <v>14</v>
      </c>
      <c r="H447">
        <v>4.2</v>
      </c>
      <c r="I447">
        <v>23</v>
      </c>
      <c r="J447">
        <v>11</v>
      </c>
      <c r="K447" t="s">
        <v>15</v>
      </c>
      <c r="L447">
        <v>0</v>
      </c>
      <c r="M447" t="s">
        <v>31</v>
      </c>
      <c r="N447" t="s">
        <v>32</v>
      </c>
      <c r="O447">
        <v>1</v>
      </c>
    </row>
    <row r="448" spans="1:15" x14ac:dyDescent="0.2">
      <c r="A448" t="s">
        <v>481</v>
      </c>
      <c r="B448" s="1">
        <v>46011.583333333336</v>
      </c>
      <c r="C448" t="s">
        <v>11</v>
      </c>
      <c r="D448" t="s">
        <v>16</v>
      </c>
      <c r="E448" t="s">
        <v>13</v>
      </c>
      <c r="F448">
        <v>5</v>
      </c>
      <c r="G448" t="s">
        <v>14</v>
      </c>
      <c r="H448">
        <v>6.2</v>
      </c>
      <c r="I448">
        <v>3.8</v>
      </c>
      <c r="J448">
        <v>9</v>
      </c>
      <c r="K448" t="s">
        <v>15</v>
      </c>
      <c r="L448">
        <v>0</v>
      </c>
      <c r="M448" t="s">
        <v>31</v>
      </c>
      <c r="N448" t="s">
        <v>32</v>
      </c>
      <c r="O448">
        <v>1</v>
      </c>
    </row>
    <row r="449" spans="1:15" x14ac:dyDescent="0.2">
      <c r="A449" t="s">
        <v>482</v>
      </c>
      <c r="B449" s="1">
        <v>46036.083333333336</v>
      </c>
      <c r="C449" t="s">
        <v>11</v>
      </c>
      <c r="D449" t="s">
        <v>17</v>
      </c>
      <c r="E449" t="s">
        <v>13</v>
      </c>
      <c r="F449">
        <v>5</v>
      </c>
      <c r="G449" t="s">
        <v>14</v>
      </c>
      <c r="H449">
        <v>2.2000000000000002</v>
      </c>
      <c r="I449">
        <v>10.5</v>
      </c>
      <c r="J449">
        <v>9</v>
      </c>
      <c r="K449" t="s">
        <v>19</v>
      </c>
      <c r="L449">
        <v>1</v>
      </c>
      <c r="M449" t="s">
        <v>31</v>
      </c>
      <c r="N449" t="s">
        <v>35</v>
      </c>
      <c r="O449">
        <v>1</v>
      </c>
    </row>
    <row r="450" spans="1:15" x14ac:dyDescent="0.2">
      <c r="A450" t="s">
        <v>483</v>
      </c>
      <c r="B450" s="1">
        <v>46023.666666666664</v>
      </c>
      <c r="C450" t="s">
        <v>11</v>
      </c>
      <c r="D450" t="s">
        <v>17</v>
      </c>
      <c r="E450" t="s">
        <v>13</v>
      </c>
      <c r="F450">
        <v>5</v>
      </c>
      <c r="G450" t="s">
        <v>14</v>
      </c>
      <c r="H450">
        <v>2.2999999999999998</v>
      </c>
      <c r="I450">
        <v>9.6999999999999993</v>
      </c>
      <c r="J450">
        <v>10</v>
      </c>
      <c r="K450" t="s">
        <v>19</v>
      </c>
      <c r="L450">
        <v>1</v>
      </c>
      <c r="M450" t="s">
        <v>31</v>
      </c>
      <c r="N450" t="s">
        <v>35</v>
      </c>
      <c r="O450">
        <v>1</v>
      </c>
    </row>
    <row r="451" spans="1:15" x14ac:dyDescent="0.2">
      <c r="A451" t="s">
        <v>484</v>
      </c>
      <c r="B451" s="1">
        <v>46042.666666666664</v>
      </c>
      <c r="C451" t="s">
        <v>20</v>
      </c>
      <c r="D451" t="s">
        <v>16</v>
      </c>
      <c r="E451" t="s">
        <v>23</v>
      </c>
      <c r="F451">
        <v>2</v>
      </c>
      <c r="G451" t="s">
        <v>24</v>
      </c>
      <c r="H451">
        <v>6.9</v>
      </c>
      <c r="I451">
        <v>16.399999999999999</v>
      </c>
      <c r="J451">
        <v>9</v>
      </c>
      <c r="K451" t="s">
        <v>15</v>
      </c>
      <c r="L451">
        <v>0</v>
      </c>
      <c r="M451" t="s">
        <v>31</v>
      </c>
      <c r="N451" t="s">
        <v>32</v>
      </c>
      <c r="O451">
        <v>1</v>
      </c>
    </row>
    <row r="452" spans="1:15" x14ac:dyDescent="0.2">
      <c r="A452" t="s">
        <v>485</v>
      </c>
      <c r="B452" s="1">
        <v>46052.875</v>
      </c>
      <c r="C452" t="s">
        <v>11</v>
      </c>
      <c r="D452" t="s">
        <v>16</v>
      </c>
      <c r="E452" t="s">
        <v>13</v>
      </c>
      <c r="F452">
        <v>4</v>
      </c>
      <c r="G452" t="s">
        <v>14</v>
      </c>
      <c r="H452">
        <v>0.8</v>
      </c>
      <c r="I452">
        <v>18</v>
      </c>
      <c r="J452">
        <v>10</v>
      </c>
      <c r="K452" t="s">
        <v>19</v>
      </c>
      <c r="L452">
        <v>1</v>
      </c>
      <c r="M452" t="s">
        <v>31</v>
      </c>
      <c r="N452" t="s">
        <v>41</v>
      </c>
      <c r="O452">
        <v>1</v>
      </c>
    </row>
    <row r="453" spans="1:15" x14ac:dyDescent="0.2">
      <c r="A453" t="s">
        <v>486</v>
      </c>
      <c r="B453" s="1">
        <v>46057.583333333336</v>
      </c>
      <c r="C453" t="s">
        <v>11</v>
      </c>
      <c r="D453" t="s">
        <v>16</v>
      </c>
      <c r="E453" t="s">
        <v>18</v>
      </c>
      <c r="F453">
        <v>5</v>
      </c>
      <c r="G453" t="s">
        <v>14</v>
      </c>
      <c r="H453">
        <v>3.2</v>
      </c>
      <c r="I453">
        <v>5.8</v>
      </c>
      <c r="J453">
        <v>12</v>
      </c>
      <c r="K453" t="s">
        <v>19</v>
      </c>
      <c r="L453">
        <v>1</v>
      </c>
      <c r="M453" t="s">
        <v>31</v>
      </c>
      <c r="N453" t="s">
        <v>35</v>
      </c>
      <c r="O453">
        <v>1</v>
      </c>
    </row>
    <row r="454" spans="1:15" x14ac:dyDescent="0.2">
      <c r="A454" t="s">
        <v>487</v>
      </c>
      <c r="B454" s="1">
        <v>46066.041666666664</v>
      </c>
      <c r="C454" t="s">
        <v>11</v>
      </c>
      <c r="D454" t="s">
        <v>17</v>
      </c>
      <c r="E454" t="s">
        <v>25</v>
      </c>
      <c r="F454">
        <v>5</v>
      </c>
      <c r="G454" t="s">
        <v>14</v>
      </c>
      <c r="H454">
        <v>4.3</v>
      </c>
      <c r="I454">
        <v>13</v>
      </c>
      <c r="J454">
        <v>10</v>
      </c>
      <c r="K454" t="s">
        <v>15</v>
      </c>
      <c r="L454">
        <v>0</v>
      </c>
      <c r="M454" t="s">
        <v>31</v>
      </c>
      <c r="N454" t="s">
        <v>32</v>
      </c>
      <c r="O454">
        <v>1</v>
      </c>
    </row>
    <row r="455" spans="1:15" x14ac:dyDescent="0.2">
      <c r="A455" t="s">
        <v>488</v>
      </c>
      <c r="B455" s="1">
        <v>46013.083333333336</v>
      </c>
      <c r="C455" t="s">
        <v>11</v>
      </c>
      <c r="D455" t="s">
        <v>16</v>
      </c>
      <c r="E455" t="s">
        <v>23</v>
      </c>
      <c r="F455">
        <v>4</v>
      </c>
      <c r="G455" t="s">
        <v>14</v>
      </c>
      <c r="H455">
        <v>4.5</v>
      </c>
      <c r="I455">
        <v>1</v>
      </c>
      <c r="J455">
        <v>9</v>
      </c>
      <c r="K455" t="s">
        <v>15</v>
      </c>
      <c r="L455">
        <v>0</v>
      </c>
      <c r="M455" t="s">
        <v>31</v>
      </c>
      <c r="N455" t="s">
        <v>32</v>
      </c>
      <c r="O455">
        <v>1</v>
      </c>
    </row>
    <row r="456" spans="1:15" x14ac:dyDescent="0.2">
      <c r="A456" t="s">
        <v>489</v>
      </c>
      <c r="B456" s="1">
        <v>46058.75</v>
      </c>
      <c r="C456" t="s">
        <v>20</v>
      </c>
      <c r="D456" t="s">
        <v>12</v>
      </c>
      <c r="E456" t="s">
        <v>25</v>
      </c>
      <c r="F456">
        <v>5</v>
      </c>
      <c r="G456" t="s">
        <v>14</v>
      </c>
      <c r="H456">
        <v>3.8</v>
      </c>
      <c r="I456">
        <v>24</v>
      </c>
      <c r="J456">
        <v>12</v>
      </c>
      <c r="K456" t="s">
        <v>19</v>
      </c>
      <c r="L456">
        <v>1</v>
      </c>
      <c r="M456" t="s">
        <v>31</v>
      </c>
      <c r="N456" t="s">
        <v>35</v>
      </c>
      <c r="O456">
        <v>1</v>
      </c>
    </row>
    <row r="457" spans="1:15" x14ac:dyDescent="0.2">
      <c r="A457" t="s">
        <v>490</v>
      </c>
      <c r="B457" s="1">
        <v>46054.041666666664</v>
      </c>
      <c r="C457" t="s">
        <v>11</v>
      </c>
      <c r="D457" t="s">
        <v>17</v>
      </c>
      <c r="E457" t="s">
        <v>13</v>
      </c>
      <c r="F457">
        <v>3</v>
      </c>
      <c r="G457" t="s">
        <v>26</v>
      </c>
      <c r="H457">
        <v>5.2</v>
      </c>
      <c r="I457">
        <v>8.4</v>
      </c>
      <c r="J457">
        <v>12</v>
      </c>
      <c r="K457" t="s">
        <v>15</v>
      </c>
      <c r="L457">
        <v>0</v>
      </c>
      <c r="M457" t="s">
        <v>31</v>
      </c>
      <c r="N457" t="s">
        <v>32</v>
      </c>
      <c r="O457">
        <v>1</v>
      </c>
    </row>
    <row r="458" spans="1:15" x14ac:dyDescent="0.2">
      <c r="A458" t="s">
        <v>491</v>
      </c>
      <c r="B458" s="1">
        <v>46020.666666666664</v>
      </c>
      <c r="C458" t="s">
        <v>22</v>
      </c>
      <c r="D458" t="s">
        <v>16</v>
      </c>
      <c r="E458" t="s">
        <v>23</v>
      </c>
      <c r="F458">
        <v>4</v>
      </c>
      <c r="G458" t="s">
        <v>14</v>
      </c>
      <c r="H458">
        <v>5.9</v>
      </c>
      <c r="I458">
        <v>12.9</v>
      </c>
      <c r="J458">
        <v>10</v>
      </c>
      <c r="K458" t="s">
        <v>15</v>
      </c>
      <c r="L458">
        <v>0</v>
      </c>
      <c r="M458" t="s">
        <v>31</v>
      </c>
      <c r="N458" t="s">
        <v>32</v>
      </c>
      <c r="O458">
        <v>1</v>
      </c>
    </row>
    <row r="459" spans="1:15" x14ac:dyDescent="0.2">
      <c r="A459" t="s">
        <v>492</v>
      </c>
      <c r="B459" s="1">
        <v>46006.333333333336</v>
      </c>
      <c r="C459" t="s">
        <v>11</v>
      </c>
      <c r="D459" t="s">
        <v>16</v>
      </c>
      <c r="E459" t="s">
        <v>25</v>
      </c>
      <c r="F459">
        <v>5</v>
      </c>
      <c r="G459" t="s">
        <v>14</v>
      </c>
      <c r="H459">
        <v>6</v>
      </c>
      <c r="I459">
        <v>10</v>
      </c>
      <c r="J459">
        <v>11</v>
      </c>
      <c r="K459" t="s">
        <v>15</v>
      </c>
      <c r="L459">
        <v>0</v>
      </c>
      <c r="M459" t="s">
        <v>31</v>
      </c>
      <c r="N459" t="s">
        <v>32</v>
      </c>
      <c r="O459">
        <v>1</v>
      </c>
    </row>
    <row r="460" spans="1:15" x14ac:dyDescent="0.2">
      <c r="A460" t="s">
        <v>493</v>
      </c>
      <c r="B460" s="1">
        <v>46005.625</v>
      </c>
      <c r="C460" t="s">
        <v>22</v>
      </c>
      <c r="D460" t="s">
        <v>12</v>
      </c>
      <c r="E460" t="s">
        <v>23</v>
      </c>
      <c r="F460">
        <v>5</v>
      </c>
      <c r="G460" t="s">
        <v>14</v>
      </c>
      <c r="H460">
        <v>1.7</v>
      </c>
      <c r="I460">
        <v>21.7</v>
      </c>
      <c r="J460">
        <v>9</v>
      </c>
      <c r="K460" t="s">
        <v>19</v>
      </c>
      <c r="L460">
        <v>1</v>
      </c>
      <c r="M460" t="s">
        <v>31</v>
      </c>
      <c r="N460" t="s">
        <v>35</v>
      </c>
      <c r="O460">
        <v>1</v>
      </c>
    </row>
    <row r="461" spans="1:15" x14ac:dyDescent="0.2">
      <c r="A461" t="s">
        <v>494</v>
      </c>
      <c r="B461" s="1">
        <v>46069.75</v>
      </c>
      <c r="C461" t="s">
        <v>20</v>
      </c>
      <c r="D461" t="s">
        <v>16</v>
      </c>
      <c r="E461" t="s">
        <v>23</v>
      </c>
      <c r="F461">
        <v>5</v>
      </c>
      <c r="G461" t="s">
        <v>14</v>
      </c>
      <c r="H461">
        <v>3.5</v>
      </c>
      <c r="I461">
        <v>1</v>
      </c>
      <c r="J461">
        <v>9</v>
      </c>
      <c r="K461" t="s">
        <v>19</v>
      </c>
      <c r="L461">
        <v>1</v>
      </c>
      <c r="M461" t="s">
        <v>31</v>
      </c>
      <c r="N461" t="s">
        <v>35</v>
      </c>
      <c r="O461">
        <v>1</v>
      </c>
    </row>
    <row r="462" spans="1:15" x14ac:dyDescent="0.2">
      <c r="A462" t="s">
        <v>495</v>
      </c>
      <c r="B462" s="1">
        <v>46044.708333333336</v>
      </c>
      <c r="C462" t="s">
        <v>20</v>
      </c>
      <c r="D462" t="s">
        <v>12</v>
      </c>
      <c r="E462" t="s">
        <v>18</v>
      </c>
      <c r="F462">
        <v>4</v>
      </c>
      <c r="G462" t="s">
        <v>14</v>
      </c>
      <c r="H462">
        <v>7.2</v>
      </c>
      <c r="I462">
        <v>12.4</v>
      </c>
      <c r="J462">
        <v>11</v>
      </c>
      <c r="K462" t="s">
        <v>15</v>
      </c>
      <c r="L462">
        <v>0</v>
      </c>
      <c r="M462" t="s">
        <v>31</v>
      </c>
      <c r="N462" t="s">
        <v>32</v>
      </c>
      <c r="O462">
        <v>1</v>
      </c>
    </row>
    <row r="463" spans="1:15" x14ac:dyDescent="0.2">
      <c r="A463" t="s">
        <v>496</v>
      </c>
      <c r="B463" s="1">
        <v>46035.791666666664</v>
      </c>
      <c r="C463" t="s">
        <v>11</v>
      </c>
      <c r="D463" t="s">
        <v>16</v>
      </c>
      <c r="E463" t="s">
        <v>21</v>
      </c>
      <c r="F463">
        <v>3</v>
      </c>
      <c r="G463" t="s">
        <v>26</v>
      </c>
      <c r="H463">
        <v>6.4</v>
      </c>
      <c r="I463">
        <v>11.7</v>
      </c>
      <c r="J463">
        <v>9</v>
      </c>
      <c r="K463" t="s">
        <v>15</v>
      </c>
      <c r="L463">
        <v>0</v>
      </c>
      <c r="M463" t="s">
        <v>31</v>
      </c>
      <c r="N463" t="s">
        <v>32</v>
      </c>
      <c r="O463">
        <v>1</v>
      </c>
    </row>
    <row r="464" spans="1:15" x14ac:dyDescent="0.2">
      <c r="A464" t="s">
        <v>497</v>
      </c>
      <c r="B464" s="1">
        <v>46044</v>
      </c>
      <c r="C464" t="s">
        <v>11</v>
      </c>
      <c r="D464" t="s">
        <v>12</v>
      </c>
      <c r="E464" t="s">
        <v>25</v>
      </c>
      <c r="F464">
        <v>5</v>
      </c>
      <c r="G464" t="s">
        <v>14</v>
      </c>
      <c r="H464">
        <v>0.8</v>
      </c>
      <c r="I464">
        <v>8.9</v>
      </c>
      <c r="J464">
        <v>11</v>
      </c>
      <c r="K464" t="s">
        <v>19</v>
      </c>
      <c r="L464">
        <v>1</v>
      </c>
      <c r="M464" t="s">
        <v>31</v>
      </c>
      <c r="N464" t="s">
        <v>41</v>
      </c>
      <c r="O464">
        <v>1</v>
      </c>
    </row>
    <row r="465" spans="1:15" x14ac:dyDescent="0.2">
      <c r="A465" t="s">
        <v>498</v>
      </c>
      <c r="B465" s="1">
        <v>46013.833333333336</v>
      </c>
      <c r="C465" t="s">
        <v>11</v>
      </c>
      <c r="D465" t="s">
        <v>16</v>
      </c>
      <c r="E465" t="s">
        <v>25</v>
      </c>
      <c r="F465">
        <v>5</v>
      </c>
      <c r="G465" t="s">
        <v>14</v>
      </c>
      <c r="H465">
        <v>5.0999999999999996</v>
      </c>
      <c r="I465">
        <v>26.3</v>
      </c>
      <c r="J465">
        <v>11</v>
      </c>
      <c r="K465" t="s">
        <v>15</v>
      </c>
      <c r="L465">
        <v>0</v>
      </c>
      <c r="M465" t="s">
        <v>55</v>
      </c>
      <c r="N465" t="s">
        <v>32</v>
      </c>
      <c r="O465">
        <v>1</v>
      </c>
    </row>
    <row r="466" spans="1:15" x14ac:dyDescent="0.2">
      <c r="A466" t="s">
        <v>499</v>
      </c>
      <c r="B466" s="1">
        <v>46046.958333333336</v>
      </c>
      <c r="C466" t="s">
        <v>11</v>
      </c>
      <c r="D466" t="s">
        <v>17</v>
      </c>
      <c r="E466" t="s">
        <v>25</v>
      </c>
      <c r="F466">
        <v>3</v>
      </c>
      <c r="G466" t="s">
        <v>26</v>
      </c>
      <c r="H466">
        <v>0.1</v>
      </c>
      <c r="I466">
        <v>5.4</v>
      </c>
      <c r="J466">
        <v>12</v>
      </c>
      <c r="K466" t="s">
        <v>19</v>
      </c>
      <c r="L466">
        <v>1</v>
      </c>
      <c r="M466" t="s">
        <v>31</v>
      </c>
      <c r="N466" t="s">
        <v>41</v>
      </c>
      <c r="O466">
        <v>1</v>
      </c>
    </row>
    <row r="467" spans="1:15" x14ac:dyDescent="0.2">
      <c r="A467" t="s">
        <v>500</v>
      </c>
      <c r="B467" s="1">
        <v>46075.291666666664</v>
      </c>
      <c r="C467" t="s">
        <v>11</v>
      </c>
      <c r="D467" t="s">
        <v>12</v>
      </c>
      <c r="E467" t="s">
        <v>13</v>
      </c>
      <c r="F467">
        <v>5</v>
      </c>
      <c r="G467" t="s">
        <v>14</v>
      </c>
      <c r="H467">
        <v>4.3</v>
      </c>
      <c r="I467">
        <v>18.7</v>
      </c>
      <c r="J467">
        <v>12</v>
      </c>
      <c r="K467" t="s">
        <v>15</v>
      </c>
      <c r="L467">
        <v>0</v>
      </c>
      <c r="M467" t="s">
        <v>31</v>
      </c>
      <c r="N467" t="s">
        <v>32</v>
      </c>
      <c r="O467">
        <v>1</v>
      </c>
    </row>
    <row r="468" spans="1:15" x14ac:dyDescent="0.2">
      <c r="A468" t="s">
        <v>501</v>
      </c>
      <c r="B468" s="1">
        <v>46044.083333333336</v>
      </c>
      <c r="C468" t="s">
        <v>11</v>
      </c>
      <c r="D468" t="s">
        <v>17</v>
      </c>
      <c r="E468" t="s">
        <v>23</v>
      </c>
      <c r="F468">
        <v>4</v>
      </c>
      <c r="G468" t="s">
        <v>14</v>
      </c>
      <c r="H468">
        <v>8.9</v>
      </c>
      <c r="I468">
        <v>15.4</v>
      </c>
      <c r="J468">
        <v>10</v>
      </c>
      <c r="K468" t="s">
        <v>15</v>
      </c>
      <c r="L468">
        <v>0</v>
      </c>
      <c r="M468" t="s">
        <v>31</v>
      </c>
      <c r="N468" t="s">
        <v>32</v>
      </c>
      <c r="O468">
        <v>1</v>
      </c>
    </row>
    <row r="469" spans="1:15" x14ac:dyDescent="0.2">
      <c r="A469" t="s">
        <v>502</v>
      </c>
      <c r="B469" s="1">
        <v>46065.166666666664</v>
      </c>
      <c r="C469" t="s">
        <v>11</v>
      </c>
      <c r="D469" t="s">
        <v>12</v>
      </c>
      <c r="E469" t="s">
        <v>13</v>
      </c>
      <c r="F469">
        <v>5</v>
      </c>
      <c r="G469" t="s">
        <v>14</v>
      </c>
      <c r="H469">
        <v>1.8</v>
      </c>
      <c r="I469">
        <v>22.6</v>
      </c>
      <c r="J469">
        <v>12</v>
      </c>
      <c r="K469" t="s">
        <v>19</v>
      </c>
      <c r="L469">
        <v>1</v>
      </c>
      <c r="M469" t="s">
        <v>31</v>
      </c>
      <c r="N469" t="s">
        <v>35</v>
      </c>
      <c r="O469">
        <v>1</v>
      </c>
    </row>
    <row r="470" spans="1:15" x14ac:dyDescent="0.2">
      <c r="A470" t="s">
        <v>503</v>
      </c>
      <c r="B470" s="1">
        <v>46019.875</v>
      </c>
      <c r="C470" t="s">
        <v>11</v>
      </c>
      <c r="D470" t="s">
        <v>17</v>
      </c>
      <c r="E470" t="s">
        <v>23</v>
      </c>
      <c r="F470">
        <v>5</v>
      </c>
      <c r="G470" t="s">
        <v>14</v>
      </c>
      <c r="H470">
        <v>2.1</v>
      </c>
      <c r="I470">
        <v>7.2</v>
      </c>
      <c r="J470">
        <v>11</v>
      </c>
      <c r="K470" t="s">
        <v>19</v>
      </c>
      <c r="L470">
        <v>1</v>
      </c>
      <c r="M470" t="s">
        <v>31</v>
      </c>
      <c r="N470" t="s">
        <v>35</v>
      </c>
      <c r="O470">
        <v>1</v>
      </c>
    </row>
    <row r="471" spans="1:15" x14ac:dyDescent="0.2">
      <c r="A471" t="s">
        <v>504</v>
      </c>
      <c r="B471" s="1">
        <v>46080.25</v>
      </c>
      <c r="C471" t="s">
        <v>11</v>
      </c>
      <c r="D471" t="s">
        <v>17</v>
      </c>
      <c r="E471" t="s">
        <v>23</v>
      </c>
      <c r="F471">
        <v>3</v>
      </c>
      <c r="G471" t="s">
        <v>26</v>
      </c>
      <c r="H471">
        <v>6.1</v>
      </c>
      <c r="I471">
        <v>6.6</v>
      </c>
      <c r="J471">
        <v>10</v>
      </c>
      <c r="K471" t="s">
        <v>15</v>
      </c>
      <c r="L471">
        <v>0</v>
      </c>
      <c r="M471" t="s">
        <v>31</v>
      </c>
      <c r="N471" t="s">
        <v>32</v>
      </c>
      <c r="O471">
        <v>1</v>
      </c>
    </row>
    <row r="472" spans="1:15" x14ac:dyDescent="0.2">
      <c r="A472" t="s">
        <v>505</v>
      </c>
      <c r="B472" s="1">
        <v>46045.375</v>
      </c>
      <c r="C472" t="s">
        <v>22</v>
      </c>
      <c r="D472" t="s">
        <v>16</v>
      </c>
      <c r="E472" t="s">
        <v>13</v>
      </c>
      <c r="F472">
        <v>1</v>
      </c>
      <c r="G472" t="s">
        <v>24</v>
      </c>
      <c r="H472">
        <v>0.3</v>
      </c>
      <c r="I472">
        <v>21.3</v>
      </c>
      <c r="J472">
        <v>9</v>
      </c>
      <c r="K472" t="s">
        <v>19</v>
      </c>
      <c r="L472">
        <v>1</v>
      </c>
      <c r="M472" t="s">
        <v>31</v>
      </c>
      <c r="N472" t="s">
        <v>41</v>
      </c>
      <c r="O472">
        <v>1</v>
      </c>
    </row>
    <row r="473" spans="1:15" x14ac:dyDescent="0.2">
      <c r="A473" t="s">
        <v>506</v>
      </c>
      <c r="B473" s="1">
        <v>46020.416666666664</v>
      </c>
      <c r="C473" t="s">
        <v>11</v>
      </c>
      <c r="D473" t="s">
        <v>16</v>
      </c>
      <c r="E473" t="s">
        <v>18</v>
      </c>
      <c r="F473">
        <v>5</v>
      </c>
      <c r="G473" t="s">
        <v>14</v>
      </c>
      <c r="H473">
        <v>2.6</v>
      </c>
      <c r="I473">
        <v>15.9</v>
      </c>
      <c r="J473">
        <v>11</v>
      </c>
      <c r="K473" t="s">
        <v>19</v>
      </c>
      <c r="L473">
        <v>1</v>
      </c>
      <c r="M473" t="s">
        <v>31</v>
      </c>
      <c r="N473" t="s">
        <v>35</v>
      </c>
      <c r="O473">
        <v>1</v>
      </c>
    </row>
    <row r="474" spans="1:15" x14ac:dyDescent="0.2">
      <c r="A474" t="s">
        <v>507</v>
      </c>
      <c r="B474" s="1">
        <v>46038.791666666664</v>
      </c>
      <c r="C474" t="s">
        <v>22</v>
      </c>
      <c r="D474" t="s">
        <v>17</v>
      </c>
      <c r="E474" t="s">
        <v>18</v>
      </c>
      <c r="F474">
        <v>5</v>
      </c>
      <c r="G474" t="s">
        <v>14</v>
      </c>
      <c r="H474">
        <v>5.7</v>
      </c>
      <c r="I474">
        <v>1</v>
      </c>
      <c r="J474">
        <v>10</v>
      </c>
      <c r="K474" t="s">
        <v>15</v>
      </c>
      <c r="L474">
        <v>0</v>
      </c>
      <c r="M474" t="s">
        <v>31</v>
      </c>
      <c r="N474" t="s">
        <v>32</v>
      </c>
      <c r="O474">
        <v>1</v>
      </c>
    </row>
    <row r="475" spans="1:15" x14ac:dyDescent="0.2">
      <c r="A475" t="s">
        <v>508</v>
      </c>
      <c r="B475" s="1">
        <v>46075.666666666664</v>
      </c>
      <c r="C475" t="s">
        <v>11</v>
      </c>
      <c r="D475" t="s">
        <v>12</v>
      </c>
      <c r="E475" t="s">
        <v>25</v>
      </c>
      <c r="F475">
        <v>5</v>
      </c>
      <c r="G475" t="s">
        <v>14</v>
      </c>
      <c r="H475">
        <v>2.6</v>
      </c>
      <c r="I475">
        <v>8.1999999999999993</v>
      </c>
      <c r="J475">
        <v>12</v>
      </c>
      <c r="K475" t="s">
        <v>19</v>
      </c>
      <c r="L475">
        <v>1</v>
      </c>
      <c r="M475" t="s">
        <v>31</v>
      </c>
      <c r="N475" t="s">
        <v>35</v>
      </c>
      <c r="O475">
        <v>1</v>
      </c>
    </row>
    <row r="476" spans="1:15" x14ac:dyDescent="0.2">
      <c r="A476" t="s">
        <v>509</v>
      </c>
      <c r="B476" s="1">
        <v>46020.875</v>
      </c>
      <c r="C476" t="s">
        <v>11</v>
      </c>
      <c r="D476" t="s">
        <v>12</v>
      </c>
      <c r="E476" t="s">
        <v>23</v>
      </c>
      <c r="F476">
        <v>5</v>
      </c>
      <c r="G476" t="s">
        <v>14</v>
      </c>
      <c r="H476">
        <v>3.6</v>
      </c>
      <c r="I476">
        <v>15.6</v>
      </c>
      <c r="J476">
        <v>11</v>
      </c>
      <c r="K476" t="s">
        <v>19</v>
      </c>
      <c r="L476">
        <v>1</v>
      </c>
      <c r="M476" t="s">
        <v>31</v>
      </c>
      <c r="N476" t="s">
        <v>35</v>
      </c>
      <c r="O476">
        <v>1</v>
      </c>
    </row>
    <row r="477" spans="1:15" x14ac:dyDescent="0.2">
      <c r="A477" t="s">
        <v>510</v>
      </c>
      <c r="B477" s="1">
        <v>46073.5</v>
      </c>
      <c r="C477" t="s">
        <v>11</v>
      </c>
      <c r="D477" t="s">
        <v>16</v>
      </c>
      <c r="E477" t="s">
        <v>21</v>
      </c>
      <c r="F477">
        <v>5</v>
      </c>
      <c r="G477" t="s">
        <v>14</v>
      </c>
      <c r="H477">
        <v>6.1</v>
      </c>
      <c r="I477">
        <v>19.2</v>
      </c>
      <c r="J477">
        <v>10</v>
      </c>
      <c r="K477" t="s">
        <v>15</v>
      </c>
      <c r="L477">
        <v>0</v>
      </c>
      <c r="M477" t="s">
        <v>31</v>
      </c>
      <c r="N477" t="s">
        <v>32</v>
      </c>
      <c r="O477">
        <v>1</v>
      </c>
    </row>
    <row r="478" spans="1:15" x14ac:dyDescent="0.2">
      <c r="A478" t="s">
        <v>511</v>
      </c>
      <c r="B478" s="1">
        <v>46019.916666666664</v>
      </c>
      <c r="C478" t="s">
        <v>22</v>
      </c>
      <c r="D478" t="s">
        <v>17</v>
      </c>
      <c r="E478" t="s">
        <v>13</v>
      </c>
      <c r="F478">
        <v>5</v>
      </c>
      <c r="G478" t="s">
        <v>14</v>
      </c>
      <c r="H478">
        <v>5.3</v>
      </c>
      <c r="I478">
        <v>7.1</v>
      </c>
      <c r="J478">
        <v>9</v>
      </c>
      <c r="K478" t="s">
        <v>15</v>
      </c>
      <c r="L478">
        <v>0</v>
      </c>
      <c r="M478" t="s">
        <v>31</v>
      </c>
      <c r="N478" t="s">
        <v>32</v>
      </c>
      <c r="O478">
        <v>1</v>
      </c>
    </row>
    <row r="479" spans="1:15" x14ac:dyDescent="0.2">
      <c r="A479" t="s">
        <v>512</v>
      </c>
      <c r="B479" s="1">
        <v>46008.166666666664</v>
      </c>
      <c r="C479" t="s">
        <v>11</v>
      </c>
      <c r="D479" t="s">
        <v>17</v>
      </c>
      <c r="E479" t="s">
        <v>21</v>
      </c>
      <c r="F479">
        <v>4</v>
      </c>
      <c r="G479" t="s">
        <v>14</v>
      </c>
      <c r="H479">
        <v>4.9000000000000004</v>
      </c>
      <c r="I479">
        <v>1</v>
      </c>
      <c r="J479">
        <v>11</v>
      </c>
      <c r="K479" t="s">
        <v>15</v>
      </c>
      <c r="L479">
        <v>0</v>
      </c>
      <c r="M479" t="s">
        <v>31</v>
      </c>
      <c r="N479" t="s">
        <v>32</v>
      </c>
      <c r="O479">
        <v>1</v>
      </c>
    </row>
    <row r="480" spans="1:15" x14ac:dyDescent="0.2">
      <c r="A480" t="s">
        <v>513</v>
      </c>
      <c r="B480" s="1">
        <v>45994.958333333336</v>
      </c>
      <c r="C480" t="s">
        <v>11</v>
      </c>
      <c r="D480" t="s">
        <v>17</v>
      </c>
      <c r="E480" t="s">
        <v>13</v>
      </c>
      <c r="F480">
        <v>4</v>
      </c>
      <c r="G480" t="s">
        <v>14</v>
      </c>
      <c r="H480">
        <v>3.4</v>
      </c>
      <c r="I480">
        <v>16.7</v>
      </c>
      <c r="J480">
        <v>11</v>
      </c>
      <c r="K480" t="s">
        <v>19</v>
      </c>
      <c r="L480">
        <v>1</v>
      </c>
      <c r="M480" t="s">
        <v>31</v>
      </c>
      <c r="N480" t="s">
        <v>35</v>
      </c>
      <c r="O480">
        <v>1</v>
      </c>
    </row>
    <row r="481" spans="1:15" x14ac:dyDescent="0.2">
      <c r="A481" t="s">
        <v>514</v>
      </c>
      <c r="B481" s="1">
        <v>46062.833333333336</v>
      </c>
      <c r="C481" t="s">
        <v>11</v>
      </c>
      <c r="D481" t="s">
        <v>16</v>
      </c>
      <c r="E481" t="s">
        <v>21</v>
      </c>
      <c r="F481">
        <v>4</v>
      </c>
      <c r="G481" t="s">
        <v>14</v>
      </c>
      <c r="H481">
        <v>5.0999999999999996</v>
      </c>
      <c r="I481">
        <v>2.7</v>
      </c>
      <c r="J481">
        <v>10</v>
      </c>
      <c r="K481" t="s">
        <v>15</v>
      </c>
      <c r="L481">
        <v>0</v>
      </c>
      <c r="M481" t="s">
        <v>31</v>
      </c>
      <c r="N481" t="s">
        <v>32</v>
      </c>
      <c r="O481">
        <v>1</v>
      </c>
    </row>
    <row r="482" spans="1:15" x14ac:dyDescent="0.2">
      <c r="A482" t="s">
        <v>515</v>
      </c>
      <c r="B482" s="1">
        <v>46009.625</v>
      </c>
      <c r="C482" t="s">
        <v>11</v>
      </c>
      <c r="D482" t="s">
        <v>17</v>
      </c>
      <c r="E482" t="s">
        <v>13</v>
      </c>
      <c r="F482">
        <v>3</v>
      </c>
      <c r="G482" t="s">
        <v>26</v>
      </c>
      <c r="H482">
        <v>3.9</v>
      </c>
      <c r="I482">
        <v>1</v>
      </c>
      <c r="J482">
        <v>10</v>
      </c>
      <c r="K482" t="s">
        <v>19</v>
      </c>
      <c r="L482">
        <v>1</v>
      </c>
      <c r="M482" t="s">
        <v>31</v>
      </c>
      <c r="N482" t="s">
        <v>35</v>
      </c>
      <c r="O482">
        <v>1</v>
      </c>
    </row>
    <row r="483" spans="1:15" x14ac:dyDescent="0.2">
      <c r="A483" t="s">
        <v>516</v>
      </c>
      <c r="B483" s="1">
        <v>46071.708333333336</v>
      </c>
      <c r="C483" t="s">
        <v>11</v>
      </c>
      <c r="D483" t="s">
        <v>12</v>
      </c>
      <c r="E483" t="s">
        <v>21</v>
      </c>
      <c r="F483">
        <v>5</v>
      </c>
      <c r="G483" t="s">
        <v>14</v>
      </c>
      <c r="H483">
        <v>5.3</v>
      </c>
      <c r="I483">
        <v>1</v>
      </c>
      <c r="J483">
        <v>12</v>
      </c>
      <c r="K483" t="s">
        <v>15</v>
      </c>
      <c r="L483">
        <v>0</v>
      </c>
      <c r="M483" t="s">
        <v>31</v>
      </c>
      <c r="N483" t="s">
        <v>32</v>
      </c>
      <c r="O483">
        <v>1</v>
      </c>
    </row>
    <row r="484" spans="1:15" x14ac:dyDescent="0.2">
      <c r="A484" t="s">
        <v>517</v>
      </c>
      <c r="B484" s="1">
        <v>46066.291666666664</v>
      </c>
      <c r="C484" t="s">
        <v>11</v>
      </c>
      <c r="D484" t="s">
        <v>16</v>
      </c>
      <c r="E484" t="s">
        <v>18</v>
      </c>
      <c r="F484">
        <v>4</v>
      </c>
      <c r="G484" t="s">
        <v>14</v>
      </c>
      <c r="H484">
        <v>3</v>
      </c>
      <c r="I484">
        <v>19</v>
      </c>
      <c r="J484">
        <v>12</v>
      </c>
      <c r="K484" t="s">
        <v>19</v>
      </c>
      <c r="L484">
        <v>1</v>
      </c>
      <c r="M484" t="s">
        <v>31</v>
      </c>
      <c r="N484" t="s">
        <v>35</v>
      </c>
      <c r="O484">
        <v>1</v>
      </c>
    </row>
    <row r="485" spans="1:15" x14ac:dyDescent="0.2">
      <c r="A485" t="s">
        <v>518</v>
      </c>
      <c r="B485" s="1">
        <v>46028.208333333336</v>
      </c>
      <c r="C485" t="s">
        <v>11</v>
      </c>
      <c r="D485" t="s">
        <v>12</v>
      </c>
      <c r="E485" t="s">
        <v>13</v>
      </c>
      <c r="F485">
        <v>5</v>
      </c>
      <c r="G485" t="s">
        <v>14</v>
      </c>
      <c r="H485">
        <v>3.7</v>
      </c>
      <c r="I485">
        <v>13.5</v>
      </c>
      <c r="J485">
        <v>11</v>
      </c>
      <c r="K485" t="s">
        <v>19</v>
      </c>
      <c r="L485">
        <v>1</v>
      </c>
      <c r="M485" t="s">
        <v>31</v>
      </c>
      <c r="N485" t="s">
        <v>35</v>
      </c>
      <c r="O485">
        <v>1</v>
      </c>
    </row>
    <row r="486" spans="1:15" x14ac:dyDescent="0.2">
      <c r="A486" t="s">
        <v>519</v>
      </c>
      <c r="B486" s="1">
        <v>46005.208333333336</v>
      </c>
      <c r="C486" t="s">
        <v>11</v>
      </c>
      <c r="D486" t="s">
        <v>12</v>
      </c>
      <c r="E486" t="s">
        <v>23</v>
      </c>
      <c r="F486">
        <v>5</v>
      </c>
      <c r="G486" t="s">
        <v>14</v>
      </c>
      <c r="H486">
        <v>1.7</v>
      </c>
      <c r="I486">
        <v>10.7</v>
      </c>
      <c r="J486">
        <v>9</v>
      </c>
      <c r="K486" t="s">
        <v>19</v>
      </c>
      <c r="L486">
        <v>1</v>
      </c>
      <c r="M486" t="s">
        <v>31</v>
      </c>
      <c r="N486" t="s">
        <v>35</v>
      </c>
      <c r="O486">
        <v>1</v>
      </c>
    </row>
    <row r="487" spans="1:15" x14ac:dyDescent="0.2">
      <c r="A487" t="s">
        <v>520</v>
      </c>
      <c r="B487" s="1">
        <v>46053.333333333336</v>
      </c>
      <c r="C487" t="s">
        <v>11</v>
      </c>
      <c r="D487" t="s">
        <v>12</v>
      </c>
      <c r="E487" t="s">
        <v>18</v>
      </c>
      <c r="F487">
        <v>5</v>
      </c>
      <c r="G487" t="s">
        <v>14</v>
      </c>
      <c r="H487">
        <v>4.0999999999999996</v>
      </c>
      <c r="I487">
        <v>23.6</v>
      </c>
      <c r="J487">
        <v>12</v>
      </c>
      <c r="K487" t="s">
        <v>15</v>
      </c>
      <c r="L487">
        <v>0</v>
      </c>
      <c r="M487" t="s">
        <v>31</v>
      </c>
      <c r="N487" t="s">
        <v>32</v>
      </c>
      <c r="O487">
        <v>1</v>
      </c>
    </row>
    <row r="488" spans="1:15" x14ac:dyDescent="0.2">
      <c r="A488" t="s">
        <v>521</v>
      </c>
      <c r="B488" s="1">
        <v>46033.416666666664</v>
      </c>
      <c r="C488" t="s">
        <v>22</v>
      </c>
      <c r="D488" t="s">
        <v>12</v>
      </c>
      <c r="E488" t="s">
        <v>23</v>
      </c>
      <c r="F488">
        <v>4</v>
      </c>
      <c r="G488" t="s">
        <v>14</v>
      </c>
      <c r="H488">
        <v>2.2000000000000002</v>
      </c>
      <c r="I488">
        <v>17.600000000000001</v>
      </c>
      <c r="J488">
        <v>9</v>
      </c>
      <c r="K488" t="s">
        <v>19</v>
      </c>
      <c r="L488">
        <v>1</v>
      </c>
      <c r="M488" t="s">
        <v>31</v>
      </c>
      <c r="N488" t="s">
        <v>35</v>
      </c>
      <c r="O488">
        <v>1</v>
      </c>
    </row>
    <row r="489" spans="1:15" x14ac:dyDescent="0.2">
      <c r="A489" t="s">
        <v>522</v>
      </c>
      <c r="B489" s="1">
        <v>46025.625</v>
      </c>
      <c r="C489" t="s">
        <v>11</v>
      </c>
      <c r="D489" t="s">
        <v>16</v>
      </c>
      <c r="E489" t="s">
        <v>21</v>
      </c>
      <c r="F489">
        <v>2</v>
      </c>
      <c r="G489" t="s">
        <v>24</v>
      </c>
      <c r="H489">
        <v>1.4</v>
      </c>
      <c r="I489">
        <v>25.4</v>
      </c>
      <c r="J489">
        <v>10</v>
      </c>
      <c r="K489" t="s">
        <v>19</v>
      </c>
      <c r="L489">
        <v>1</v>
      </c>
      <c r="M489" t="s">
        <v>55</v>
      </c>
      <c r="N489" t="s">
        <v>35</v>
      </c>
      <c r="O489">
        <v>1</v>
      </c>
    </row>
    <row r="490" spans="1:15" x14ac:dyDescent="0.2">
      <c r="A490" t="s">
        <v>523</v>
      </c>
      <c r="B490" s="1">
        <v>46006.458333333336</v>
      </c>
      <c r="C490" t="s">
        <v>11</v>
      </c>
      <c r="D490" t="s">
        <v>12</v>
      </c>
      <c r="E490" t="s">
        <v>25</v>
      </c>
      <c r="F490">
        <v>2</v>
      </c>
      <c r="G490" t="s">
        <v>24</v>
      </c>
      <c r="H490">
        <v>4.8</v>
      </c>
      <c r="I490">
        <v>1.4</v>
      </c>
      <c r="J490">
        <v>10</v>
      </c>
      <c r="K490" t="s">
        <v>15</v>
      </c>
      <c r="L490">
        <v>0</v>
      </c>
      <c r="M490" t="s">
        <v>31</v>
      </c>
      <c r="N490" t="s">
        <v>32</v>
      </c>
      <c r="O490">
        <v>1</v>
      </c>
    </row>
    <row r="491" spans="1:15" x14ac:dyDescent="0.2">
      <c r="A491" t="s">
        <v>524</v>
      </c>
      <c r="B491" s="1">
        <v>46042.25</v>
      </c>
      <c r="C491" t="s">
        <v>11</v>
      </c>
      <c r="D491" t="s">
        <v>16</v>
      </c>
      <c r="E491" t="s">
        <v>23</v>
      </c>
      <c r="F491">
        <v>4</v>
      </c>
      <c r="G491" t="s">
        <v>14</v>
      </c>
      <c r="H491">
        <v>4.7</v>
      </c>
      <c r="I491">
        <v>12.2</v>
      </c>
      <c r="J491">
        <v>12</v>
      </c>
      <c r="K491" t="s">
        <v>15</v>
      </c>
      <c r="L491">
        <v>0</v>
      </c>
      <c r="M491" t="s">
        <v>31</v>
      </c>
      <c r="N491" t="s">
        <v>32</v>
      </c>
      <c r="O491">
        <v>1</v>
      </c>
    </row>
    <row r="492" spans="1:15" x14ac:dyDescent="0.2">
      <c r="A492" t="s">
        <v>525</v>
      </c>
      <c r="B492" s="1">
        <v>46002.958333333336</v>
      </c>
      <c r="C492" t="s">
        <v>11</v>
      </c>
      <c r="D492" t="s">
        <v>12</v>
      </c>
      <c r="E492" t="s">
        <v>13</v>
      </c>
      <c r="F492">
        <v>2</v>
      </c>
      <c r="G492" t="s">
        <v>24</v>
      </c>
      <c r="H492">
        <v>6.2</v>
      </c>
      <c r="I492">
        <v>1</v>
      </c>
      <c r="J492">
        <v>11</v>
      </c>
      <c r="K492" t="s">
        <v>15</v>
      </c>
      <c r="L492">
        <v>0</v>
      </c>
      <c r="M492" t="s">
        <v>31</v>
      </c>
      <c r="N492" t="s">
        <v>32</v>
      </c>
      <c r="O492">
        <v>1</v>
      </c>
    </row>
    <row r="493" spans="1:15" x14ac:dyDescent="0.2">
      <c r="A493" t="s">
        <v>526</v>
      </c>
      <c r="B493" s="1">
        <v>46003.041666666664</v>
      </c>
      <c r="C493" t="s">
        <v>11</v>
      </c>
      <c r="D493" t="s">
        <v>12</v>
      </c>
      <c r="E493" t="s">
        <v>13</v>
      </c>
      <c r="F493">
        <v>5</v>
      </c>
      <c r="G493" t="s">
        <v>14</v>
      </c>
      <c r="H493">
        <v>3.1</v>
      </c>
      <c r="I493">
        <v>10.7</v>
      </c>
      <c r="J493">
        <v>10</v>
      </c>
      <c r="K493" t="s">
        <v>19</v>
      </c>
      <c r="L493">
        <v>1</v>
      </c>
      <c r="M493" t="s">
        <v>31</v>
      </c>
      <c r="N493" t="s">
        <v>35</v>
      </c>
      <c r="O493">
        <v>1</v>
      </c>
    </row>
    <row r="494" spans="1:15" x14ac:dyDescent="0.2">
      <c r="A494" t="s">
        <v>527</v>
      </c>
      <c r="B494" s="1">
        <v>46069.75</v>
      </c>
      <c r="C494" t="s">
        <v>11</v>
      </c>
      <c r="D494" t="s">
        <v>12</v>
      </c>
      <c r="E494" t="s">
        <v>21</v>
      </c>
      <c r="F494">
        <v>5</v>
      </c>
      <c r="G494" t="s">
        <v>14</v>
      </c>
      <c r="H494">
        <v>5.2</v>
      </c>
      <c r="I494">
        <v>10.5</v>
      </c>
      <c r="J494">
        <v>9</v>
      </c>
      <c r="K494" t="s">
        <v>15</v>
      </c>
      <c r="L494">
        <v>0</v>
      </c>
      <c r="M494" t="s">
        <v>31</v>
      </c>
      <c r="N494" t="s">
        <v>32</v>
      </c>
      <c r="O494">
        <v>1</v>
      </c>
    </row>
    <row r="495" spans="1:15" x14ac:dyDescent="0.2">
      <c r="A495" t="s">
        <v>528</v>
      </c>
      <c r="B495" s="1">
        <v>46001.75</v>
      </c>
      <c r="C495" t="s">
        <v>20</v>
      </c>
      <c r="D495" t="s">
        <v>12</v>
      </c>
      <c r="E495" t="s">
        <v>23</v>
      </c>
      <c r="F495">
        <v>5</v>
      </c>
      <c r="G495" t="s">
        <v>14</v>
      </c>
      <c r="H495">
        <v>5.6</v>
      </c>
      <c r="I495">
        <v>17.5</v>
      </c>
      <c r="J495">
        <v>11</v>
      </c>
      <c r="K495" t="s">
        <v>15</v>
      </c>
      <c r="L495">
        <v>0</v>
      </c>
      <c r="M495" t="s">
        <v>31</v>
      </c>
      <c r="N495" t="s">
        <v>32</v>
      </c>
      <c r="O495">
        <v>1</v>
      </c>
    </row>
    <row r="496" spans="1:15" x14ac:dyDescent="0.2">
      <c r="A496" t="s">
        <v>529</v>
      </c>
      <c r="B496" s="1">
        <v>46048.125</v>
      </c>
      <c r="C496" t="s">
        <v>11</v>
      </c>
      <c r="D496" t="s">
        <v>16</v>
      </c>
      <c r="E496" t="s">
        <v>23</v>
      </c>
      <c r="F496">
        <v>5</v>
      </c>
      <c r="G496" t="s">
        <v>14</v>
      </c>
      <c r="H496">
        <v>5.3</v>
      </c>
      <c r="I496">
        <v>12.9</v>
      </c>
      <c r="J496">
        <v>12</v>
      </c>
      <c r="K496" t="s">
        <v>15</v>
      </c>
      <c r="L496">
        <v>0</v>
      </c>
      <c r="M496" t="s">
        <v>31</v>
      </c>
      <c r="N496" t="s">
        <v>32</v>
      </c>
      <c r="O496">
        <v>1</v>
      </c>
    </row>
    <row r="497" spans="1:15" x14ac:dyDescent="0.2">
      <c r="A497" t="s">
        <v>530</v>
      </c>
      <c r="B497" s="1">
        <v>46071.791666666664</v>
      </c>
      <c r="C497" t="s">
        <v>11</v>
      </c>
      <c r="D497" t="s">
        <v>16</v>
      </c>
      <c r="E497" t="s">
        <v>23</v>
      </c>
      <c r="F497">
        <v>3</v>
      </c>
      <c r="G497" t="s">
        <v>26</v>
      </c>
      <c r="H497">
        <v>2.1</v>
      </c>
      <c r="I497">
        <v>17.5</v>
      </c>
      <c r="J497">
        <v>10</v>
      </c>
      <c r="K497" t="s">
        <v>19</v>
      </c>
      <c r="L497">
        <v>1</v>
      </c>
      <c r="M497" t="s">
        <v>31</v>
      </c>
      <c r="N497" t="s">
        <v>35</v>
      </c>
      <c r="O497">
        <v>1</v>
      </c>
    </row>
    <row r="498" spans="1:15" x14ac:dyDescent="0.2">
      <c r="A498" t="s">
        <v>531</v>
      </c>
      <c r="B498" s="1">
        <v>46051.791666666664</v>
      </c>
      <c r="C498" t="s">
        <v>11</v>
      </c>
      <c r="D498" t="s">
        <v>16</v>
      </c>
      <c r="E498" t="s">
        <v>25</v>
      </c>
      <c r="F498">
        <v>5</v>
      </c>
      <c r="G498" t="s">
        <v>14</v>
      </c>
      <c r="H498">
        <v>4.5999999999999996</v>
      </c>
      <c r="I498">
        <v>18.100000000000001</v>
      </c>
      <c r="J498">
        <v>12</v>
      </c>
      <c r="K498" t="s">
        <v>15</v>
      </c>
      <c r="L498">
        <v>0</v>
      </c>
      <c r="M498" t="s">
        <v>31</v>
      </c>
      <c r="N498" t="s">
        <v>32</v>
      </c>
      <c r="O498">
        <v>1</v>
      </c>
    </row>
    <row r="499" spans="1:15" x14ac:dyDescent="0.2">
      <c r="A499" t="s">
        <v>532</v>
      </c>
      <c r="B499" s="1">
        <v>46011.916666666664</v>
      </c>
      <c r="C499" t="s">
        <v>22</v>
      </c>
      <c r="D499" t="s">
        <v>16</v>
      </c>
      <c r="E499" t="s">
        <v>21</v>
      </c>
      <c r="F499">
        <v>5</v>
      </c>
      <c r="G499" t="s">
        <v>14</v>
      </c>
      <c r="H499">
        <v>5.0999999999999996</v>
      </c>
      <c r="I499">
        <v>29.7</v>
      </c>
      <c r="J499">
        <v>11</v>
      </c>
      <c r="K499" t="s">
        <v>15</v>
      </c>
      <c r="L499">
        <v>0</v>
      </c>
      <c r="M499" t="s">
        <v>55</v>
      </c>
      <c r="N499" t="s">
        <v>32</v>
      </c>
      <c r="O499">
        <v>1</v>
      </c>
    </row>
    <row r="500" spans="1:15" x14ac:dyDescent="0.2">
      <c r="A500" t="s">
        <v>533</v>
      </c>
      <c r="B500" s="1">
        <v>46062</v>
      </c>
      <c r="C500" t="s">
        <v>11</v>
      </c>
      <c r="D500" t="s">
        <v>12</v>
      </c>
      <c r="E500" t="s">
        <v>18</v>
      </c>
      <c r="F500">
        <v>3</v>
      </c>
      <c r="G500" t="s">
        <v>26</v>
      </c>
      <c r="H500">
        <v>4.2</v>
      </c>
      <c r="I500">
        <v>10</v>
      </c>
      <c r="J500">
        <v>11</v>
      </c>
      <c r="K500" t="s">
        <v>15</v>
      </c>
      <c r="L500">
        <v>0</v>
      </c>
      <c r="M500" t="s">
        <v>31</v>
      </c>
      <c r="N500" t="s">
        <v>32</v>
      </c>
      <c r="O500">
        <v>1</v>
      </c>
    </row>
    <row r="501" spans="1:15" x14ac:dyDescent="0.2">
      <c r="A501" t="s">
        <v>534</v>
      </c>
      <c r="B501" s="1">
        <v>46029.416666666664</v>
      </c>
      <c r="C501" t="s">
        <v>11</v>
      </c>
      <c r="D501" t="s">
        <v>17</v>
      </c>
      <c r="E501" t="s">
        <v>23</v>
      </c>
      <c r="F501">
        <v>5</v>
      </c>
      <c r="G501" t="s">
        <v>14</v>
      </c>
      <c r="H501">
        <v>0.1</v>
      </c>
      <c r="I501">
        <v>5</v>
      </c>
      <c r="J501">
        <v>11</v>
      </c>
      <c r="K501" t="s">
        <v>19</v>
      </c>
      <c r="L501">
        <v>1</v>
      </c>
      <c r="M501" t="s">
        <v>31</v>
      </c>
      <c r="N501" t="s">
        <v>41</v>
      </c>
      <c r="O501">
        <v>1</v>
      </c>
    </row>
    <row r="502" spans="1:15" x14ac:dyDescent="0.2">
      <c r="A502" t="s">
        <v>535</v>
      </c>
      <c r="B502" s="1">
        <v>45993.208333333336</v>
      </c>
      <c r="C502" t="s">
        <v>11</v>
      </c>
      <c r="D502" t="s">
        <v>16</v>
      </c>
      <c r="E502" t="s">
        <v>21</v>
      </c>
      <c r="F502">
        <v>4</v>
      </c>
      <c r="G502" t="s">
        <v>14</v>
      </c>
      <c r="H502">
        <v>4.5999999999999996</v>
      </c>
      <c r="I502">
        <v>14.5</v>
      </c>
      <c r="J502">
        <v>9</v>
      </c>
      <c r="K502" t="s">
        <v>15</v>
      </c>
      <c r="L502">
        <v>0</v>
      </c>
      <c r="M502" t="s">
        <v>31</v>
      </c>
      <c r="N502" t="s">
        <v>32</v>
      </c>
      <c r="O502">
        <v>1</v>
      </c>
    </row>
    <row r="503" spans="1:15" x14ac:dyDescent="0.2">
      <c r="A503" t="s">
        <v>536</v>
      </c>
      <c r="B503" s="1">
        <v>46021.625</v>
      </c>
      <c r="C503" t="s">
        <v>11</v>
      </c>
      <c r="D503" t="s">
        <v>16</v>
      </c>
      <c r="E503" t="s">
        <v>21</v>
      </c>
      <c r="F503">
        <v>5</v>
      </c>
      <c r="G503" t="s">
        <v>14</v>
      </c>
      <c r="H503">
        <v>9.6999999999999993</v>
      </c>
      <c r="I503">
        <v>6.1</v>
      </c>
      <c r="J503">
        <v>11</v>
      </c>
      <c r="K503" t="s">
        <v>15</v>
      </c>
      <c r="L503">
        <v>0</v>
      </c>
      <c r="M503" t="s">
        <v>31</v>
      </c>
      <c r="N503" t="s">
        <v>32</v>
      </c>
      <c r="O503">
        <v>1</v>
      </c>
    </row>
    <row r="504" spans="1:15" x14ac:dyDescent="0.2">
      <c r="A504" t="s">
        <v>537</v>
      </c>
      <c r="B504" s="1">
        <v>46077.708333333336</v>
      </c>
      <c r="C504" t="s">
        <v>11</v>
      </c>
      <c r="D504" t="s">
        <v>12</v>
      </c>
      <c r="E504" t="s">
        <v>25</v>
      </c>
      <c r="F504">
        <v>5</v>
      </c>
      <c r="G504" t="s">
        <v>14</v>
      </c>
      <c r="H504">
        <v>3.3</v>
      </c>
      <c r="I504">
        <v>24.4</v>
      </c>
      <c r="J504">
        <v>11</v>
      </c>
      <c r="K504" t="s">
        <v>19</v>
      </c>
      <c r="L504">
        <v>1</v>
      </c>
      <c r="M504" t="s">
        <v>55</v>
      </c>
      <c r="N504" t="s">
        <v>35</v>
      </c>
      <c r="O504">
        <v>1</v>
      </c>
    </row>
    <row r="505" spans="1:15" x14ac:dyDescent="0.2">
      <c r="A505" t="s">
        <v>538</v>
      </c>
      <c r="B505" s="1">
        <v>46045.083333333336</v>
      </c>
      <c r="C505" t="s">
        <v>11</v>
      </c>
      <c r="D505" t="s">
        <v>12</v>
      </c>
      <c r="E505" t="s">
        <v>18</v>
      </c>
      <c r="F505">
        <v>2</v>
      </c>
      <c r="G505" t="s">
        <v>24</v>
      </c>
      <c r="H505">
        <v>2.4</v>
      </c>
      <c r="I505">
        <v>10.199999999999999</v>
      </c>
      <c r="J505">
        <v>10</v>
      </c>
      <c r="K505" t="s">
        <v>19</v>
      </c>
      <c r="L505">
        <v>1</v>
      </c>
      <c r="M505" t="s">
        <v>31</v>
      </c>
      <c r="N505" t="s">
        <v>35</v>
      </c>
      <c r="O505">
        <v>1</v>
      </c>
    </row>
    <row r="506" spans="1:15" x14ac:dyDescent="0.2">
      <c r="A506" t="s">
        <v>539</v>
      </c>
      <c r="B506" s="1">
        <v>46045.083333333336</v>
      </c>
      <c r="C506" t="s">
        <v>11</v>
      </c>
      <c r="D506" t="s">
        <v>12</v>
      </c>
      <c r="E506" t="s">
        <v>13</v>
      </c>
      <c r="F506">
        <v>5</v>
      </c>
      <c r="G506" t="s">
        <v>14</v>
      </c>
      <c r="H506">
        <v>5.0999999999999996</v>
      </c>
      <c r="I506">
        <v>8</v>
      </c>
      <c r="J506">
        <v>9</v>
      </c>
      <c r="K506" t="s">
        <v>15</v>
      </c>
      <c r="L506">
        <v>0</v>
      </c>
      <c r="M506" t="s">
        <v>31</v>
      </c>
      <c r="N506" t="s">
        <v>32</v>
      </c>
      <c r="O506">
        <v>1</v>
      </c>
    </row>
    <row r="507" spans="1:15" x14ac:dyDescent="0.2">
      <c r="A507" t="s">
        <v>540</v>
      </c>
      <c r="B507" s="1">
        <v>46023.916666666664</v>
      </c>
      <c r="C507" t="s">
        <v>20</v>
      </c>
      <c r="D507" t="s">
        <v>12</v>
      </c>
      <c r="E507" t="s">
        <v>13</v>
      </c>
      <c r="F507">
        <v>5</v>
      </c>
      <c r="G507" t="s">
        <v>14</v>
      </c>
      <c r="H507">
        <v>5</v>
      </c>
      <c r="I507">
        <v>8.6999999999999993</v>
      </c>
      <c r="J507">
        <v>9</v>
      </c>
      <c r="K507" t="s">
        <v>15</v>
      </c>
      <c r="L507">
        <v>0</v>
      </c>
      <c r="M507" t="s">
        <v>31</v>
      </c>
      <c r="N507" t="s">
        <v>32</v>
      </c>
      <c r="O507">
        <v>1</v>
      </c>
    </row>
    <row r="508" spans="1:15" x14ac:dyDescent="0.2">
      <c r="A508" t="s">
        <v>541</v>
      </c>
      <c r="B508" s="1">
        <v>45994.708333333336</v>
      </c>
      <c r="C508" t="s">
        <v>11</v>
      </c>
      <c r="D508" t="s">
        <v>16</v>
      </c>
      <c r="E508" t="s">
        <v>21</v>
      </c>
      <c r="F508">
        <v>5</v>
      </c>
      <c r="G508" t="s">
        <v>14</v>
      </c>
      <c r="H508">
        <v>7.2</v>
      </c>
      <c r="I508">
        <v>18.2</v>
      </c>
      <c r="J508">
        <v>12</v>
      </c>
      <c r="K508" t="s">
        <v>15</v>
      </c>
      <c r="L508">
        <v>0</v>
      </c>
      <c r="M508" t="s">
        <v>31</v>
      </c>
      <c r="N508" t="s">
        <v>32</v>
      </c>
      <c r="O508">
        <v>1</v>
      </c>
    </row>
    <row r="509" spans="1:15" x14ac:dyDescent="0.2">
      <c r="A509" t="s">
        <v>542</v>
      </c>
      <c r="B509" s="1">
        <v>46048.166666666664</v>
      </c>
      <c r="C509" t="s">
        <v>11</v>
      </c>
      <c r="D509" t="s">
        <v>16</v>
      </c>
      <c r="E509" t="s">
        <v>23</v>
      </c>
      <c r="F509">
        <v>4</v>
      </c>
      <c r="G509" t="s">
        <v>14</v>
      </c>
      <c r="H509">
        <v>1.1000000000000001</v>
      </c>
      <c r="I509">
        <v>11.2</v>
      </c>
      <c r="J509">
        <v>11</v>
      </c>
      <c r="K509" t="s">
        <v>19</v>
      </c>
      <c r="L509">
        <v>1</v>
      </c>
      <c r="M509" t="s">
        <v>31</v>
      </c>
      <c r="N509" t="s">
        <v>35</v>
      </c>
      <c r="O509">
        <v>1</v>
      </c>
    </row>
    <row r="510" spans="1:15" x14ac:dyDescent="0.2">
      <c r="A510" t="s">
        <v>543</v>
      </c>
      <c r="B510" s="1">
        <v>46006.125</v>
      </c>
      <c r="C510" t="s">
        <v>11</v>
      </c>
      <c r="D510" t="s">
        <v>16</v>
      </c>
      <c r="E510" t="s">
        <v>21</v>
      </c>
      <c r="F510">
        <v>5</v>
      </c>
      <c r="G510" t="s">
        <v>14</v>
      </c>
      <c r="H510">
        <v>6</v>
      </c>
      <c r="I510">
        <v>7.4</v>
      </c>
      <c r="J510">
        <v>10</v>
      </c>
      <c r="K510" t="s">
        <v>15</v>
      </c>
      <c r="L510">
        <v>0</v>
      </c>
      <c r="M510" t="s">
        <v>31</v>
      </c>
      <c r="N510" t="s">
        <v>32</v>
      </c>
      <c r="O510">
        <v>1</v>
      </c>
    </row>
    <row r="511" spans="1:15" x14ac:dyDescent="0.2">
      <c r="A511" t="s">
        <v>544</v>
      </c>
      <c r="B511" s="1">
        <v>46056.458333333336</v>
      </c>
      <c r="C511" t="s">
        <v>11</v>
      </c>
      <c r="D511" t="s">
        <v>17</v>
      </c>
      <c r="E511" t="s">
        <v>21</v>
      </c>
      <c r="F511">
        <v>2</v>
      </c>
      <c r="G511" t="s">
        <v>24</v>
      </c>
      <c r="H511">
        <v>5.7</v>
      </c>
      <c r="I511">
        <v>25.8</v>
      </c>
      <c r="J511">
        <v>12</v>
      </c>
      <c r="K511" t="s">
        <v>15</v>
      </c>
      <c r="L511">
        <v>0</v>
      </c>
      <c r="M511" t="s">
        <v>55</v>
      </c>
      <c r="N511" t="s">
        <v>32</v>
      </c>
      <c r="O511">
        <v>1</v>
      </c>
    </row>
    <row r="512" spans="1:15" x14ac:dyDescent="0.2">
      <c r="A512" t="s">
        <v>545</v>
      </c>
      <c r="B512" s="1">
        <v>46067.291666666664</v>
      </c>
      <c r="C512" t="s">
        <v>11</v>
      </c>
      <c r="D512" t="s">
        <v>17</v>
      </c>
      <c r="E512" t="s">
        <v>13</v>
      </c>
      <c r="F512">
        <v>4</v>
      </c>
      <c r="G512" t="s">
        <v>14</v>
      </c>
      <c r="H512">
        <v>3.8</v>
      </c>
      <c r="I512">
        <v>5.7</v>
      </c>
      <c r="J512">
        <v>11</v>
      </c>
      <c r="K512" t="s">
        <v>19</v>
      </c>
      <c r="L512">
        <v>1</v>
      </c>
      <c r="M512" t="s">
        <v>31</v>
      </c>
      <c r="N512" t="s">
        <v>35</v>
      </c>
      <c r="O512">
        <v>1</v>
      </c>
    </row>
    <row r="513" spans="1:15" x14ac:dyDescent="0.2">
      <c r="A513" t="s">
        <v>546</v>
      </c>
      <c r="B513" s="1">
        <v>46053.166666666664</v>
      </c>
      <c r="C513" t="s">
        <v>11</v>
      </c>
      <c r="D513" t="s">
        <v>16</v>
      </c>
      <c r="E513" t="s">
        <v>21</v>
      </c>
      <c r="F513">
        <v>2</v>
      </c>
      <c r="G513" t="s">
        <v>24</v>
      </c>
      <c r="H513">
        <v>5</v>
      </c>
      <c r="I513">
        <v>12.8</v>
      </c>
      <c r="J513">
        <v>9</v>
      </c>
      <c r="K513" t="s">
        <v>15</v>
      </c>
      <c r="L513">
        <v>0</v>
      </c>
      <c r="M513" t="s">
        <v>31</v>
      </c>
      <c r="N513" t="s">
        <v>32</v>
      </c>
      <c r="O513">
        <v>1</v>
      </c>
    </row>
    <row r="514" spans="1:15" x14ac:dyDescent="0.2">
      <c r="A514" t="s">
        <v>547</v>
      </c>
      <c r="B514" s="1">
        <v>46062.666666666664</v>
      </c>
      <c r="C514" t="s">
        <v>11</v>
      </c>
      <c r="D514" t="s">
        <v>17</v>
      </c>
      <c r="E514" t="s">
        <v>23</v>
      </c>
      <c r="F514">
        <v>5</v>
      </c>
      <c r="G514" t="s">
        <v>14</v>
      </c>
      <c r="H514">
        <v>6.8</v>
      </c>
      <c r="I514">
        <v>17.7</v>
      </c>
      <c r="J514">
        <v>11</v>
      </c>
      <c r="K514" t="s">
        <v>15</v>
      </c>
      <c r="L514">
        <v>0</v>
      </c>
      <c r="M514" t="s">
        <v>31</v>
      </c>
      <c r="N514" t="s">
        <v>32</v>
      </c>
      <c r="O514">
        <v>1</v>
      </c>
    </row>
    <row r="515" spans="1:15" x14ac:dyDescent="0.2">
      <c r="A515" t="s">
        <v>548</v>
      </c>
      <c r="B515" s="1">
        <v>46063.916666666664</v>
      </c>
      <c r="C515" t="s">
        <v>11</v>
      </c>
      <c r="D515" t="s">
        <v>12</v>
      </c>
      <c r="E515" t="s">
        <v>23</v>
      </c>
      <c r="F515">
        <v>5</v>
      </c>
      <c r="G515" t="s">
        <v>14</v>
      </c>
      <c r="H515">
        <v>6.4</v>
      </c>
      <c r="I515">
        <v>1</v>
      </c>
      <c r="J515">
        <v>11</v>
      </c>
      <c r="K515" t="s">
        <v>15</v>
      </c>
      <c r="L515">
        <v>0</v>
      </c>
      <c r="M515" t="s">
        <v>31</v>
      </c>
      <c r="N515" t="s">
        <v>32</v>
      </c>
      <c r="O515">
        <v>1</v>
      </c>
    </row>
    <row r="516" spans="1:15" x14ac:dyDescent="0.2">
      <c r="A516" t="s">
        <v>549</v>
      </c>
      <c r="B516" s="1">
        <v>46074.791666666664</v>
      </c>
      <c r="C516" t="s">
        <v>22</v>
      </c>
      <c r="D516" t="s">
        <v>12</v>
      </c>
      <c r="E516" t="s">
        <v>25</v>
      </c>
      <c r="F516">
        <v>5</v>
      </c>
      <c r="G516" t="s">
        <v>14</v>
      </c>
      <c r="H516">
        <v>1.3</v>
      </c>
      <c r="I516">
        <v>16.3</v>
      </c>
      <c r="J516">
        <v>10</v>
      </c>
      <c r="K516" t="s">
        <v>19</v>
      </c>
      <c r="L516">
        <v>1</v>
      </c>
      <c r="M516" t="s">
        <v>31</v>
      </c>
      <c r="N516" t="s">
        <v>35</v>
      </c>
      <c r="O516">
        <v>1</v>
      </c>
    </row>
    <row r="517" spans="1:15" x14ac:dyDescent="0.2">
      <c r="A517" t="s">
        <v>550</v>
      </c>
      <c r="B517" s="1">
        <v>46042.208333333336</v>
      </c>
      <c r="C517" t="s">
        <v>22</v>
      </c>
      <c r="D517" t="s">
        <v>12</v>
      </c>
      <c r="E517" t="s">
        <v>18</v>
      </c>
      <c r="F517">
        <v>5</v>
      </c>
      <c r="G517" t="s">
        <v>14</v>
      </c>
      <c r="H517">
        <v>6.3</v>
      </c>
      <c r="I517">
        <v>4.0999999999999996</v>
      </c>
      <c r="J517">
        <v>10</v>
      </c>
      <c r="K517" t="s">
        <v>15</v>
      </c>
      <c r="L517">
        <v>0</v>
      </c>
      <c r="M517" t="s">
        <v>31</v>
      </c>
      <c r="N517" t="s">
        <v>32</v>
      </c>
      <c r="O517">
        <v>1</v>
      </c>
    </row>
    <row r="518" spans="1:15" x14ac:dyDescent="0.2">
      <c r="A518" t="s">
        <v>551</v>
      </c>
      <c r="B518" s="1">
        <v>46009.625</v>
      </c>
      <c r="C518" t="s">
        <v>11</v>
      </c>
      <c r="D518" t="s">
        <v>16</v>
      </c>
      <c r="E518" t="s">
        <v>13</v>
      </c>
      <c r="F518">
        <v>2</v>
      </c>
      <c r="G518" t="s">
        <v>24</v>
      </c>
      <c r="H518">
        <v>4</v>
      </c>
      <c r="I518">
        <v>19.100000000000001</v>
      </c>
      <c r="J518">
        <v>10</v>
      </c>
      <c r="K518" t="s">
        <v>15</v>
      </c>
      <c r="L518">
        <v>0</v>
      </c>
      <c r="M518" t="s">
        <v>31</v>
      </c>
      <c r="N518" t="s">
        <v>35</v>
      </c>
      <c r="O518">
        <v>1</v>
      </c>
    </row>
    <row r="519" spans="1:15" x14ac:dyDescent="0.2">
      <c r="A519" t="s">
        <v>552</v>
      </c>
      <c r="B519" s="1">
        <v>46025.875</v>
      </c>
      <c r="C519" t="s">
        <v>11</v>
      </c>
      <c r="D519" t="s">
        <v>17</v>
      </c>
      <c r="E519" t="s">
        <v>23</v>
      </c>
      <c r="F519">
        <v>4</v>
      </c>
      <c r="G519" t="s">
        <v>14</v>
      </c>
      <c r="H519">
        <v>4.4000000000000004</v>
      </c>
      <c r="I519">
        <v>4.8</v>
      </c>
      <c r="J519">
        <v>12</v>
      </c>
      <c r="K519" t="s">
        <v>15</v>
      </c>
      <c r="L519">
        <v>0</v>
      </c>
      <c r="M519" t="s">
        <v>31</v>
      </c>
      <c r="N519" t="s">
        <v>32</v>
      </c>
      <c r="O519">
        <v>1</v>
      </c>
    </row>
    <row r="520" spans="1:15" x14ac:dyDescent="0.2">
      <c r="A520" t="s">
        <v>553</v>
      </c>
      <c r="B520" s="1">
        <v>46022.083333333336</v>
      </c>
      <c r="C520" t="s">
        <v>11</v>
      </c>
      <c r="D520" t="s">
        <v>12</v>
      </c>
      <c r="E520" t="s">
        <v>25</v>
      </c>
      <c r="F520">
        <v>2</v>
      </c>
      <c r="G520" t="s">
        <v>24</v>
      </c>
      <c r="H520">
        <v>4.4000000000000004</v>
      </c>
      <c r="I520">
        <v>18</v>
      </c>
      <c r="J520">
        <v>10</v>
      </c>
      <c r="K520" t="s">
        <v>15</v>
      </c>
      <c r="L520">
        <v>0</v>
      </c>
      <c r="M520" t="s">
        <v>31</v>
      </c>
      <c r="N520" t="s">
        <v>32</v>
      </c>
      <c r="O520">
        <v>1</v>
      </c>
    </row>
    <row r="521" spans="1:15" x14ac:dyDescent="0.2">
      <c r="A521" t="s">
        <v>554</v>
      </c>
      <c r="B521" s="1">
        <v>46043.083333333336</v>
      </c>
      <c r="C521" t="s">
        <v>20</v>
      </c>
      <c r="D521" t="s">
        <v>17</v>
      </c>
      <c r="E521" t="s">
        <v>25</v>
      </c>
      <c r="F521">
        <v>3</v>
      </c>
      <c r="G521" t="s">
        <v>26</v>
      </c>
      <c r="H521">
        <v>3.8</v>
      </c>
      <c r="I521">
        <v>21.3</v>
      </c>
      <c r="J521">
        <v>12</v>
      </c>
      <c r="K521" t="s">
        <v>19</v>
      </c>
      <c r="L521">
        <v>1</v>
      </c>
      <c r="M521" t="s">
        <v>31</v>
      </c>
      <c r="N521" t="s">
        <v>35</v>
      </c>
      <c r="O521">
        <v>1</v>
      </c>
    </row>
    <row r="522" spans="1:15" x14ac:dyDescent="0.2">
      <c r="A522" t="s">
        <v>555</v>
      </c>
      <c r="B522" s="1">
        <v>46030.666666666664</v>
      </c>
      <c r="C522" t="s">
        <v>11</v>
      </c>
      <c r="D522" t="s">
        <v>12</v>
      </c>
      <c r="E522" t="s">
        <v>25</v>
      </c>
      <c r="F522">
        <v>3</v>
      </c>
      <c r="G522" t="s">
        <v>26</v>
      </c>
      <c r="H522">
        <v>7.2</v>
      </c>
      <c r="I522">
        <v>19.399999999999999</v>
      </c>
      <c r="J522">
        <v>11</v>
      </c>
      <c r="K522" t="s">
        <v>15</v>
      </c>
      <c r="L522">
        <v>0</v>
      </c>
      <c r="M522" t="s">
        <v>31</v>
      </c>
      <c r="N522" t="s">
        <v>32</v>
      </c>
      <c r="O522">
        <v>1</v>
      </c>
    </row>
    <row r="523" spans="1:15" x14ac:dyDescent="0.2">
      <c r="A523" t="s">
        <v>556</v>
      </c>
      <c r="B523" s="1">
        <v>46017.291666666664</v>
      </c>
      <c r="C523" t="s">
        <v>11</v>
      </c>
      <c r="D523" t="s">
        <v>17</v>
      </c>
      <c r="E523" t="s">
        <v>13</v>
      </c>
      <c r="F523">
        <v>4</v>
      </c>
      <c r="G523" t="s">
        <v>14</v>
      </c>
      <c r="H523">
        <v>4</v>
      </c>
      <c r="I523">
        <v>14.5</v>
      </c>
      <c r="J523">
        <v>12</v>
      </c>
      <c r="K523" t="s">
        <v>15</v>
      </c>
      <c r="L523">
        <v>0</v>
      </c>
      <c r="M523" t="s">
        <v>31</v>
      </c>
      <c r="N523" t="s">
        <v>35</v>
      </c>
      <c r="O523">
        <v>1</v>
      </c>
    </row>
    <row r="524" spans="1:15" x14ac:dyDescent="0.2">
      <c r="A524" t="s">
        <v>557</v>
      </c>
      <c r="B524" s="1">
        <v>46018.416666666664</v>
      </c>
      <c r="C524" t="s">
        <v>11</v>
      </c>
      <c r="D524" t="s">
        <v>12</v>
      </c>
      <c r="E524" t="s">
        <v>13</v>
      </c>
      <c r="F524">
        <v>4</v>
      </c>
      <c r="G524" t="s">
        <v>14</v>
      </c>
      <c r="H524">
        <v>1.4</v>
      </c>
      <c r="I524">
        <v>10.6</v>
      </c>
      <c r="J524">
        <v>12</v>
      </c>
      <c r="K524" t="s">
        <v>19</v>
      </c>
      <c r="L524">
        <v>1</v>
      </c>
      <c r="M524" t="s">
        <v>31</v>
      </c>
      <c r="N524" t="s">
        <v>35</v>
      </c>
      <c r="O524">
        <v>1</v>
      </c>
    </row>
    <row r="525" spans="1:15" x14ac:dyDescent="0.2">
      <c r="A525" t="s">
        <v>558</v>
      </c>
      <c r="B525" s="1">
        <v>46071.208333333336</v>
      </c>
      <c r="C525" t="s">
        <v>11</v>
      </c>
      <c r="D525" t="s">
        <v>12</v>
      </c>
      <c r="E525" t="s">
        <v>23</v>
      </c>
      <c r="F525">
        <v>2</v>
      </c>
      <c r="G525" t="s">
        <v>24</v>
      </c>
      <c r="H525">
        <v>3.2</v>
      </c>
      <c r="I525">
        <v>7.9</v>
      </c>
      <c r="J525">
        <v>10</v>
      </c>
      <c r="K525" t="s">
        <v>19</v>
      </c>
      <c r="L525">
        <v>1</v>
      </c>
      <c r="M525" t="s">
        <v>31</v>
      </c>
      <c r="N525" t="s">
        <v>35</v>
      </c>
      <c r="O525">
        <v>1</v>
      </c>
    </row>
    <row r="526" spans="1:15" x14ac:dyDescent="0.2">
      <c r="A526" t="s">
        <v>559</v>
      </c>
      <c r="B526" s="1">
        <v>46076.458333333336</v>
      </c>
      <c r="C526" t="s">
        <v>11</v>
      </c>
      <c r="D526" t="s">
        <v>16</v>
      </c>
      <c r="E526" t="s">
        <v>21</v>
      </c>
      <c r="F526">
        <v>3</v>
      </c>
      <c r="G526" t="s">
        <v>26</v>
      </c>
      <c r="H526">
        <v>4.5999999999999996</v>
      </c>
      <c r="I526">
        <v>24.3</v>
      </c>
      <c r="J526">
        <v>10</v>
      </c>
      <c r="K526" t="s">
        <v>15</v>
      </c>
      <c r="L526">
        <v>0</v>
      </c>
      <c r="M526" t="s">
        <v>55</v>
      </c>
      <c r="N526" t="s">
        <v>32</v>
      </c>
      <c r="O526">
        <v>1</v>
      </c>
    </row>
    <row r="527" spans="1:15" x14ac:dyDescent="0.2">
      <c r="A527" t="s">
        <v>560</v>
      </c>
      <c r="B527" s="1">
        <v>46040.208333333336</v>
      </c>
      <c r="C527" t="s">
        <v>11</v>
      </c>
      <c r="D527" t="s">
        <v>12</v>
      </c>
      <c r="E527" t="s">
        <v>13</v>
      </c>
      <c r="F527">
        <v>3</v>
      </c>
      <c r="G527" t="s">
        <v>26</v>
      </c>
      <c r="H527">
        <v>7.3</v>
      </c>
      <c r="I527">
        <v>6.9</v>
      </c>
      <c r="J527">
        <v>9</v>
      </c>
      <c r="K527" t="s">
        <v>15</v>
      </c>
      <c r="L527">
        <v>0</v>
      </c>
      <c r="M527" t="s">
        <v>31</v>
      </c>
      <c r="N527" t="s">
        <v>32</v>
      </c>
      <c r="O527">
        <v>1</v>
      </c>
    </row>
    <row r="528" spans="1:15" x14ac:dyDescent="0.2">
      <c r="A528" t="s">
        <v>561</v>
      </c>
      <c r="B528" s="1">
        <v>46050</v>
      </c>
      <c r="C528" t="s">
        <v>11</v>
      </c>
      <c r="D528" t="s">
        <v>12</v>
      </c>
      <c r="E528" t="s">
        <v>13</v>
      </c>
      <c r="F528">
        <v>5</v>
      </c>
      <c r="G528" t="s">
        <v>14</v>
      </c>
      <c r="H528">
        <v>5.7</v>
      </c>
      <c r="I528">
        <v>4.2</v>
      </c>
      <c r="J528">
        <v>12</v>
      </c>
      <c r="K528" t="s">
        <v>15</v>
      </c>
      <c r="L528">
        <v>0</v>
      </c>
      <c r="M528" t="s">
        <v>31</v>
      </c>
      <c r="N528" t="s">
        <v>32</v>
      </c>
      <c r="O528">
        <v>1</v>
      </c>
    </row>
    <row r="529" spans="1:15" x14ac:dyDescent="0.2">
      <c r="A529" t="s">
        <v>562</v>
      </c>
      <c r="B529" s="1">
        <v>46070.708333333336</v>
      </c>
      <c r="C529" t="s">
        <v>11</v>
      </c>
      <c r="D529" t="s">
        <v>12</v>
      </c>
      <c r="E529" t="s">
        <v>18</v>
      </c>
      <c r="F529">
        <v>5</v>
      </c>
      <c r="G529" t="s">
        <v>14</v>
      </c>
      <c r="H529">
        <v>2.1</v>
      </c>
      <c r="I529">
        <v>17.8</v>
      </c>
      <c r="J529">
        <v>11</v>
      </c>
      <c r="K529" t="s">
        <v>19</v>
      </c>
      <c r="L529">
        <v>1</v>
      </c>
      <c r="M529" t="s">
        <v>31</v>
      </c>
      <c r="N529" t="s">
        <v>35</v>
      </c>
      <c r="O529">
        <v>1</v>
      </c>
    </row>
    <row r="530" spans="1:15" x14ac:dyDescent="0.2">
      <c r="A530" t="s">
        <v>563</v>
      </c>
      <c r="B530" s="1">
        <v>45995.25</v>
      </c>
      <c r="C530" t="s">
        <v>22</v>
      </c>
      <c r="D530" t="s">
        <v>17</v>
      </c>
      <c r="E530" t="s">
        <v>13</v>
      </c>
      <c r="F530">
        <v>5</v>
      </c>
      <c r="G530" t="s">
        <v>14</v>
      </c>
      <c r="H530">
        <v>10.4</v>
      </c>
      <c r="I530">
        <v>6.1</v>
      </c>
      <c r="J530">
        <v>9</v>
      </c>
      <c r="K530" t="s">
        <v>15</v>
      </c>
      <c r="L530">
        <v>0</v>
      </c>
      <c r="M530" t="s">
        <v>31</v>
      </c>
      <c r="N530" t="s">
        <v>32</v>
      </c>
      <c r="O530">
        <v>1</v>
      </c>
    </row>
    <row r="531" spans="1:15" x14ac:dyDescent="0.2">
      <c r="A531" t="s">
        <v>564</v>
      </c>
      <c r="B531" s="1">
        <v>46007</v>
      </c>
      <c r="C531" t="s">
        <v>11</v>
      </c>
      <c r="D531" t="s">
        <v>16</v>
      </c>
      <c r="E531" t="s">
        <v>18</v>
      </c>
      <c r="F531">
        <v>4</v>
      </c>
      <c r="G531" t="s">
        <v>14</v>
      </c>
      <c r="H531">
        <v>4.9000000000000004</v>
      </c>
      <c r="I531">
        <v>4.9000000000000004</v>
      </c>
      <c r="J531">
        <v>9</v>
      </c>
      <c r="K531" t="s">
        <v>15</v>
      </c>
      <c r="L531">
        <v>0</v>
      </c>
      <c r="M531" t="s">
        <v>31</v>
      </c>
      <c r="N531" t="s">
        <v>32</v>
      </c>
      <c r="O531">
        <v>1</v>
      </c>
    </row>
    <row r="532" spans="1:15" x14ac:dyDescent="0.2">
      <c r="A532" t="s">
        <v>565</v>
      </c>
      <c r="B532" s="1">
        <v>45995.666666666664</v>
      </c>
      <c r="C532" t="s">
        <v>11</v>
      </c>
      <c r="D532" t="s">
        <v>12</v>
      </c>
      <c r="E532" t="s">
        <v>25</v>
      </c>
      <c r="F532">
        <v>4</v>
      </c>
      <c r="G532" t="s">
        <v>14</v>
      </c>
      <c r="H532">
        <v>7.4</v>
      </c>
      <c r="I532">
        <v>1</v>
      </c>
      <c r="J532">
        <v>9</v>
      </c>
      <c r="K532" t="s">
        <v>15</v>
      </c>
      <c r="L532">
        <v>0</v>
      </c>
      <c r="M532" t="s">
        <v>31</v>
      </c>
      <c r="N532" t="s">
        <v>32</v>
      </c>
      <c r="O532">
        <v>1</v>
      </c>
    </row>
    <row r="533" spans="1:15" x14ac:dyDescent="0.2">
      <c r="A533" t="s">
        <v>566</v>
      </c>
      <c r="B533" s="1">
        <v>46008.958333333336</v>
      </c>
      <c r="C533" t="s">
        <v>11</v>
      </c>
      <c r="D533" t="s">
        <v>16</v>
      </c>
      <c r="E533" t="s">
        <v>21</v>
      </c>
      <c r="F533">
        <v>5</v>
      </c>
      <c r="G533" t="s">
        <v>14</v>
      </c>
      <c r="H533">
        <v>3.8</v>
      </c>
      <c r="I533">
        <v>8.6</v>
      </c>
      <c r="J533">
        <v>10</v>
      </c>
      <c r="K533" t="s">
        <v>19</v>
      </c>
      <c r="L533">
        <v>1</v>
      </c>
      <c r="M533" t="s">
        <v>31</v>
      </c>
      <c r="N533" t="s">
        <v>35</v>
      </c>
      <c r="O533">
        <v>1</v>
      </c>
    </row>
    <row r="534" spans="1:15" x14ac:dyDescent="0.2">
      <c r="A534" t="s">
        <v>567</v>
      </c>
      <c r="B534" s="1">
        <v>46059.375</v>
      </c>
      <c r="C534" t="s">
        <v>11</v>
      </c>
      <c r="D534" t="s">
        <v>16</v>
      </c>
      <c r="E534" t="s">
        <v>13</v>
      </c>
      <c r="F534">
        <v>4</v>
      </c>
      <c r="G534" t="s">
        <v>14</v>
      </c>
      <c r="H534">
        <v>5.5</v>
      </c>
      <c r="I534">
        <v>11.8</v>
      </c>
      <c r="J534">
        <v>10</v>
      </c>
      <c r="K534" t="s">
        <v>15</v>
      </c>
      <c r="L534">
        <v>0</v>
      </c>
      <c r="M534" t="s">
        <v>31</v>
      </c>
      <c r="N534" t="s">
        <v>32</v>
      </c>
      <c r="O534">
        <v>1</v>
      </c>
    </row>
    <row r="535" spans="1:15" x14ac:dyDescent="0.2">
      <c r="A535" t="s">
        <v>568</v>
      </c>
      <c r="B535" s="1">
        <v>46015.166666666664</v>
      </c>
      <c r="C535" t="s">
        <v>11</v>
      </c>
      <c r="D535" t="s">
        <v>12</v>
      </c>
      <c r="E535" t="s">
        <v>13</v>
      </c>
      <c r="F535">
        <v>4</v>
      </c>
      <c r="G535" t="s">
        <v>14</v>
      </c>
      <c r="H535">
        <v>6.3</v>
      </c>
      <c r="I535">
        <v>14.4</v>
      </c>
      <c r="J535">
        <v>10</v>
      </c>
      <c r="K535" t="s">
        <v>15</v>
      </c>
      <c r="L535">
        <v>0</v>
      </c>
      <c r="M535" t="s">
        <v>31</v>
      </c>
      <c r="N535" t="s">
        <v>32</v>
      </c>
      <c r="O535">
        <v>1</v>
      </c>
    </row>
    <row r="536" spans="1:15" x14ac:dyDescent="0.2">
      <c r="A536" t="s">
        <v>569</v>
      </c>
      <c r="B536" s="1">
        <v>46025.666666666664</v>
      </c>
      <c r="C536" t="s">
        <v>11</v>
      </c>
      <c r="D536" t="s">
        <v>16</v>
      </c>
      <c r="E536" t="s">
        <v>25</v>
      </c>
      <c r="F536">
        <v>3</v>
      </c>
      <c r="G536" t="s">
        <v>26</v>
      </c>
      <c r="H536">
        <v>7.2</v>
      </c>
      <c r="I536">
        <v>20.100000000000001</v>
      </c>
      <c r="J536">
        <v>11</v>
      </c>
      <c r="K536" t="s">
        <v>15</v>
      </c>
      <c r="L536">
        <v>0</v>
      </c>
      <c r="M536" t="s">
        <v>31</v>
      </c>
      <c r="N536" t="s">
        <v>32</v>
      </c>
      <c r="O536">
        <v>1</v>
      </c>
    </row>
    <row r="537" spans="1:15" x14ac:dyDescent="0.2">
      <c r="A537" t="s">
        <v>570</v>
      </c>
      <c r="B537" s="1">
        <v>46058.25</v>
      </c>
      <c r="C537" t="s">
        <v>11</v>
      </c>
      <c r="D537" t="s">
        <v>12</v>
      </c>
      <c r="E537" t="s">
        <v>21</v>
      </c>
      <c r="F537">
        <v>3</v>
      </c>
      <c r="G537" t="s">
        <v>26</v>
      </c>
      <c r="H537">
        <v>6.8</v>
      </c>
      <c r="I537">
        <v>16.7</v>
      </c>
      <c r="J537">
        <v>12</v>
      </c>
      <c r="K537" t="s">
        <v>15</v>
      </c>
      <c r="L537">
        <v>0</v>
      </c>
      <c r="M537" t="s">
        <v>31</v>
      </c>
      <c r="N537" t="s">
        <v>32</v>
      </c>
      <c r="O537">
        <v>1</v>
      </c>
    </row>
    <row r="538" spans="1:15" x14ac:dyDescent="0.2">
      <c r="A538" t="s">
        <v>571</v>
      </c>
      <c r="B538" s="1">
        <v>46026.166666666664</v>
      </c>
      <c r="C538" t="s">
        <v>11</v>
      </c>
      <c r="D538" t="s">
        <v>12</v>
      </c>
      <c r="E538" t="s">
        <v>25</v>
      </c>
      <c r="F538">
        <v>4</v>
      </c>
      <c r="G538" t="s">
        <v>14</v>
      </c>
      <c r="H538">
        <v>6.4</v>
      </c>
      <c r="I538">
        <v>11</v>
      </c>
      <c r="J538">
        <v>9</v>
      </c>
      <c r="K538" t="s">
        <v>15</v>
      </c>
      <c r="L538">
        <v>0</v>
      </c>
      <c r="M538" t="s">
        <v>31</v>
      </c>
      <c r="N538" t="s">
        <v>32</v>
      </c>
      <c r="O538">
        <v>1</v>
      </c>
    </row>
    <row r="539" spans="1:15" x14ac:dyDescent="0.2">
      <c r="A539" t="s">
        <v>572</v>
      </c>
      <c r="B539" s="1">
        <v>46019.916666666664</v>
      </c>
      <c r="C539" t="s">
        <v>11</v>
      </c>
      <c r="D539" t="s">
        <v>16</v>
      </c>
      <c r="E539" t="s">
        <v>13</v>
      </c>
      <c r="F539">
        <v>4</v>
      </c>
      <c r="G539" t="s">
        <v>14</v>
      </c>
      <c r="H539">
        <v>3.4</v>
      </c>
      <c r="I539">
        <v>10.9</v>
      </c>
      <c r="J539">
        <v>10</v>
      </c>
      <c r="K539" t="s">
        <v>19</v>
      </c>
      <c r="L539">
        <v>1</v>
      </c>
      <c r="M539" t="s">
        <v>31</v>
      </c>
      <c r="N539" t="s">
        <v>35</v>
      </c>
      <c r="O539">
        <v>1</v>
      </c>
    </row>
    <row r="540" spans="1:15" x14ac:dyDescent="0.2">
      <c r="A540" t="s">
        <v>573</v>
      </c>
      <c r="B540" s="1">
        <v>46021.541666666664</v>
      </c>
      <c r="C540" t="s">
        <v>11</v>
      </c>
      <c r="D540" t="s">
        <v>12</v>
      </c>
      <c r="E540" t="s">
        <v>21</v>
      </c>
      <c r="F540">
        <v>5</v>
      </c>
      <c r="G540" t="s">
        <v>14</v>
      </c>
      <c r="H540">
        <v>2.8</v>
      </c>
      <c r="I540">
        <v>16.600000000000001</v>
      </c>
      <c r="J540">
        <v>12</v>
      </c>
      <c r="K540" t="s">
        <v>19</v>
      </c>
      <c r="L540">
        <v>1</v>
      </c>
      <c r="M540" t="s">
        <v>31</v>
      </c>
      <c r="N540" t="s">
        <v>35</v>
      </c>
      <c r="O540">
        <v>1</v>
      </c>
    </row>
    <row r="541" spans="1:15" x14ac:dyDescent="0.2">
      <c r="A541" t="s">
        <v>574</v>
      </c>
      <c r="B541" s="1">
        <v>46029.583333333336</v>
      </c>
      <c r="C541" t="s">
        <v>20</v>
      </c>
      <c r="D541" t="s">
        <v>16</v>
      </c>
      <c r="E541" t="s">
        <v>21</v>
      </c>
      <c r="F541">
        <v>2</v>
      </c>
      <c r="G541" t="s">
        <v>24</v>
      </c>
      <c r="H541">
        <v>5</v>
      </c>
      <c r="I541">
        <v>22.7</v>
      </c>
      <c r="J541">
        <v>9</v>
      </c>
      <c r="K541" t="s">
        <v>15</v>
      </c>
      <c r="L541">
        <v>0</v>
      </c>
      <c r="M541" t="s">
        <v>31</v>
      </c>
      <c r="N541" t="s">
        <v>32</v>
      </c>
      <c r="O541">
        <v>1</v>
      </c>
    </row>
    <row r="542" spans="1:15" x14ac:dyDescent="0.2">
      <c r="A542" t="s">
        <v>575</v>
      </c>
      <c r="B542" s="1">
        <v>46040.125</v>
      </c>
      <c r="C542" t="s">
        <v>11</v>
      </c>
      <c r="D542" t="s">
        <v>16</v>
      </c>
      <c r="E542" t="s">
        <v>25</v>
      </c>
      <c r="F542">
        <v>3</v>
      </c>
      <c r="G542" t="s">
        <v>26</v>
      </c>
      <c r="H542">
        <v>6.5</v>
      </c>
      <c r="I542">
        <v>13.5</v>
      </c>
      <c r="J542">
        <v>12</v>
      </c>
      <c r="K542" t="s">
        <v>15</v>
      </c>
      <c r="L542">
        <v>0</v>
      </c>
      <c r="M542" t="s">
        <v>31</v>
      </c>
      <c r="N542" t="s">
        <v>32</v>
      </c>
      <c r="O542">
        <v>1</v>
      </c>
    </row>
    <row r="543" spans="1:15" x14ac:dyDescent="0.2">
      <c r="A543" t="s">
        <v>576</v>
      </c>
      <c r="B543" s="1">
        <v>46068.791666666664</v>
      </c>
      <c r="C543" t="s">
        <v>11</v>
      </c>
      <c r="D543" t="s">
        <v>12</v>
      </c>
      <c r="E543" t="s">
        <v>21</v>
      </c>
      <c r="F543">
        <v>5</v>
      </c>
      <c r="G543" t="s">
        <v>14</v>
      </c>
      <c r="H543">
        <v>3.6</v>
      </c>
      <c r="I543">
        <v>8.6999999999999993</v>
      </c>
      <c r="J543">
        <v>9</v>
      </c>
      <c r="K543" t="s">
        <v>19</v>
      </c>
      <c r="L543">
        <v>1</v>
      </c>
      <c r="M543" t="s">
        <v>31</v>
      </c>
      <c r="N543" t="s">
        <v>35</v>
      </c>
      <c r="O543">
        <v>1</v>
      </c>
    </row>
    <row r="544" spans="1:15" x14ac:dyDescent="0.2">
      <c r="A544" t="s">
        <v>577</v>
      </c>
      <c r="B544" s="1">
        <v>46039.458333333336</v>
      </c>
      <c r="C544" t="s">
        <v>11</v>
      </c>
      <c r="D544" t="s">
        <v>16</v>
      </c>
      <c r="E544" t="s">
        <v>21</v>
      </c>
      <c r="F544">
        <v>3</v>
      </c>
      <c r="G544" t="s">
        <v>26</v>
      </c>
      <c r="H544">
        <v>6.9</v>
      </c>
      <c r="I544">
        <v>4.5999999999999996</v>
      </c>
      <c r="J544">
        <v>12</v>
      </c>
      <c r="K544" t="s">
        <v>15</v>
      </c>
      <c r="L544">
        <v>0</v>
      </c>
      <c r="M544" t="s">
        <v>31</v>
      </c>
      <c r="N544" t="s">
        <v>32</v>
      </c>
      <c r="O544">
        <v>1</v>
      </c>
    </row>
    <row r="545" spans="1:15" x14ac:dyDescent="0.2">
      <c r="A545" t="s">
        <v>578</v>
      </c>
      <c r="B545" s="1">
        <v>45993.375</v>
      </c>
      <c r="C545" t="s">
        <v>11</v>
      </c>
      <c r="D545" t="s">
        <v>12</v>
      </c>
      <c r="E545" t="s">
        <v>25</v>
      </c>
      <c r="F545">
        <v>4</v>
      </c>
      <c r="G545" t="s">
        <v>14</v>
      </c>
      <c r="H545">
        <v>7.8</v>
      </c>
      <c r="I545">
        <v>1</v>
      </c>
      <c r="J545">
        <v>10</v>
      </c>
      <c r="K545" t="s">
        <v>15</v>
      </c>
      <c r="L545">
        <v>0</v>
      </c>
      <c r="M545" t="s">
        <v>31</v>
      </c>
      <c r="N545" t="s">
        <v>32</v>
      </c>
      <c r="O545">
        <v>1</v>
      </c>
    </row>
    <row r="546" spans="1:15" x14ac:dyDescent="0.2">
      <c r="A546" t="s">
        <v>579</v>
      </c>
      <c r="B546" s="1">
        <v>46045.125</v>
      </c>
      <c r="C546" t="s">
        <v>11</v>
      </c>
      <c r="D546" t="s">
        <v>17</v>
      </c>
      <c r="E546" t="s">
        <v>13</v>
      </c>
      <c r="F546">
        <v>5</v>
      </c>
      <c r="G546" t="s">
        <v>14</v>
      </c>
      <c r="H546">
        <v>1.9</v>
      </c>
      <c r="I546">
        <v>17.8</v>
      </c>
      <c r="J546">
        <v>12</v>
      </c>
      <c r="K546" t="s">
        <v>19</v>
      </c>
      <c r="L546">
        <v>1</v>
      </c>
      <c r="M546" t="s">
        <v>31</v>
      </c>
      <c r="N546" t="s">
        <v>35</v>
      </c>
      <c r="O546">
        <v>1</v>
      </c>
    </row>
    <row r="547" spans="1:15" x14ac:dyDescent="0.2">
      <c r="A547" t="s">
        <v>580</v>
      </c>
      <c r="B547" s="1">
        <v>46030.291666666664</v>
      </c>
      <c r="C547" t="s">
        <v>11</v>
      </c>
      <c r="D547" t="s">
        <v>16</v>
      </c>
      <c r="E547" t="s">
        <v>23</v>
      </c>
      <c r="F547">
        <v>3</v>
      </c>
      <c r="G547" t="s">
        <v>26</v>
      </c>
      <c r="H547">
        <v>2.1</v>
      </c>
      <c r="I547">
        <v>17.100000000000001</v>
      </c>
      <c r="J547">
        <v>12</v>
      </c>
      <c r="K547" t="s">
        <v>19</v>
      </c>
      <c r="L547">
        <v>1</v>
      </c>
      <c r="M547" t="s">
        <v>31</v>
      </c>
      <c r="N547" t="s">
        <v>35</v>
      </c>
      <c r="O547">
        <v>1</v>
      </c>
    </row>
    <row r="548" spans="1:15" x14ac:dyDescent="0.2">
      <c r="A548" t="s">
        <v>581</v>
      </c>
      <c r="B548" s="1">
        <v>46077.416666666664</v>
      </c>
      <c r="C548" t="s">
        <v>20</v>
      </c>
      <c r="D548" t="s">
        <v>17</v>
      </c>
      <c r="E548" t="s">
        <v>13</v>
      </c>
      <c r="F548">
        <v>2</v>
      </c>
      <c r="G548" t="s">
        <v>24</v>
      </c>
      <c r="H548">
        <v>3.8</v>
      </c>
      <c r="I548">
        <v>17.100000000000001</v>
      </c>
      <c r="J548">
        <v>9</v>
      </c>
      <c r="K548" t="s">
        <v>19</v>
      </c>
      <c r="L548">
        <v>1</v>
      </c>
      <c r="M548" t="s">
        <v>31</v>
      </c>
      <c r="N548" t="s">
        <v>35</v>
      </c>
      <c r="O548">
        <v>1</v>
      </c>
    </row>
    <row r="549" spans="1:15" x14ac:dyDescent="0.2">
      <c r="A549" t="s">
        <v>582</v>
      </c>
      <c r="B549" s="1">
        <v>46070.583333333336</v>
      </c>
      <c r="C549" t="s">
        <v>11</v>
      </c>
      <c r="D549" t="s">
        <v>16</v>
      </c>
      <c r="E549" t="s">
        <v>23</v>
      </c>
      <c r="F549">
        <v>4</v>
      </c>
      <c r="G549" t="s">
        <v>14</v>
      </c>
      <c r="H549">
        <v>5</v>
      </c>
      <c r="I549">
        <v>11.5</v>
      </c>
      <c r="J549">
        <v>12</v>
      </c>
      <c r="K549" t="s">
        <v>15</v>
      </c>
      <c r="L549">
        <v>0</v>
      </c>
      <c r="M549" t="s">
        <v>31</v>
      </c>
      <c r="N549" t="s">
        <v>32</v>
      </c>
      <c r="O549">
        <v>1</v>
      </c>
    </row>
    <row r="550" spans="1:15" x14ac:dyDescent="0.2">
      <c r="A550" t="s">
        <v>583</v>
      </c>
      <c r="B550" s="1">
        <v>46049.583333333336</v>
      </c>
      <c r="C550" t="s">
        <v>11</v>
      </c>
      <c r="D550" t="s">
        <v>12</v>
      </c>
      <c r="E550" t="s">
        <v>23</v>
      </c>
      <c r="F550">
        <v>4</v>
      </c>
      <c r="G550" t="s">
        <v>14</v>
      </c>
      <c r="H550">
        <v>2.9</v>
      </c>
      <c r="I550">
        <v>23.8</v>
      </c>
      <c r="J550">
        <v>11</v>
      </c>
      <c r="K550" t="s">
        <v>19</v>
      </c>
      <c r="L550">
        <v>1</v>
      </c>
      <c r="M550" t="s">
        <v>31</v>
      </c>
      <c r="N550" t="s">
        <v>35</v>
      </c>
      <c r="O550">
        <v>1</v>
      </c>
    </row>
    <row r="551" spans="1:15" x14ac:dyDescent="0.2">
      <c r="A551" t="s">
        <v>584</v>
      </c>
      <c r="B551" s="1">
        <v>46067.5</v>
      </c>
      <c r="C551" t="s">
        <v>11</v>
      </c>
      <c r="D551" t="s">
        <v>16</v>
      </c>
      <c r="E551" t="s">
        <v>13</v>
      </c>
      <c r="F551">
        <v>5</v>
      </c>
      <c r="G551" t="s">
        <v>14</v>
      </c>
      <c r="H551">
        <v>7.6</v>
      </c>
      <c r="I551">
        <v>8.6</v>
      </c>
      <c r="J551">
        <v>9</v>
      </c>
      <c r="K551" t="s">
        <v>15</v>
      </c>
      <c r="L551">
        <v>0</v>
      </c>
      <c r="M551" t="s">
        <v>31</v>
      </c>
      <c r="N551" t="s">
        <v>32</v>
      </c>
      <c r="O551">
        <v>1</v>
      </c>
    </row>
    <row r="552" spans="1:15" x14ac:dyDescent="0.2">
      <c r="A552" t="s">
        <v>585</v>
      </c>
      <c r="B552" s="1">
        <v>46017</v>
      </c>
      <c r="C552" t="s">
        <v>11</v>
      </c>
      <c r="D552" t="s">
        <v>17</v>
      </c>
      <c r="E552" t="s">
        <v>23</v>
      </c>
      <c r="F552">
        <v>5</v>
      </c>
      <c r="G552" t="s">
        <v>14</v>
      </c>
      <c r="H552">
        <v>5.3</v>
      </c>
      <c r="I552">
        <v>20.100000000000001</v>
      </c>
      <c r="J552">
        <v>12</v>
      </c>
      <c r="K552" t="s">
        <v>15</v>
      </c>
      <c r="L552">
        <v>0</v>
      </c>
      <c r="M552" t="s">
        <v>31</v>
      </c>
      <c r="N552" t="s">
        <v>32</v>
      </c>
      <c r="O552">
        <v>1</v>
      </c>
    </row>
    <row r="553" spans="1:15" x14ac:dyDescent="0.2">
      <c r="A553" t="s">
        <v>586</v>
      </c>
      <c r="B553" s="1">
        <v>45997.291666666664</v>
      </c>
      <c r="C553" t="s">
        <v>11</v>
      </c>
      <c r="D553" t="s">
        <v>16</v>
      </c>
      <c r="E553" t="s">
        <v>13</v>
      </c>
      <c r="F553">
        <v>3</v>
      </c>
      <c r="G553" t="s">
        <v>26</v>
      </c>
      <c r="H553">
        <v>4.3</v>
      </c>
      <c r="I553">
        <v>12.2</v>
      </c>
      <c r="J553">
        <v>11</v>
      </c>
      <c r="K553" t="s">
        <v>15</v>
      </c>
      <c r="L553">
        <v>0</v>
      </c>
      <c r="M553" t="s">
        <v>31</v>
      </c>
      <c r="N553" t="s">
        <v>32</v>
      </c>
      <c r="O553">
        <v>1</v>
      </c>
    </row>
    <row r="554" spans="1:15" x14ac:dyDescent="0.2">
      <c r="A554" t="s">
        <v>587</v>
      </c>
      <c r="B554" s="1">
        <v>46022.458333333336</v>
      </c>
      <c r="C554" t="s">
        <v>11</v>
      </c>
      <c r="D554" t="s">
        <v>17</v>
      </c>
      <c r="E554" t="s">
        <v>21</v>
      </c>
      <c r="F554">
        <v>5</v>
      </c>
      <c r="G554" t="s">
        <v>14</v>
      </c>
      <c r="H554">
        <v>0.6</v>
      </c>
      <c r="I554">
        <v>7.6</v>
      </c>
      <c r="J554">
        <v>9</v>
      </c>
      <c r="K554" t="s">
        <v>19</v>
      </c>
      <c r="L554">
        <v>1</v>
      </c>
      <c r="M554" t="s">
        <v>31</v>
      </c>
      <c r="N554" t="s">
        <v>41</v>
      </c>
      <c r="O554">
        <v>1</v>
      </c>
    </row>
    <row r="555" spans="1:15" x14ac:dyDescent="0.2">
      <c r="A555" t="s">
        <v>588</v>
      </c>
      <c r="B555" s="1">
        <v>46075.75</v>
      </c>
      <c r="C555" t="s">
        <v>11</v>
      </c>
      <c r="D555" t="s">
        <v>17</v>
      </c>
      <c r="E555" t="s">
        <v>18</v>
      </c>
      <c r="F555">
        <v>4</v>
      </c>
      <c r="G555" t="s">
        <v>14</v>
      </c>
      <c r="H555">
        <v>0.9</v>
      </c>
      <c r="I555">
        <v>17.2</v>
      </c>
      <c r="J555">
        <v>10</v>
      </c>
      <c r="K555" t="s">
        <v>19</v>
      </c>
      <c r="L555">
        <v>1</v>
      </c>
      <c r="M555" t="s">
        <v>31</v>
      </c>
      <c r="N555" t="s">
        <v>41</v>
      </c>
      <c r="O555">
        <v>1</v>
      </c>
    </row>
    <row r="556" spans="1:15" x14ac:dyDescent="0.2">
      <c r="A556" t="s">
        <v>589</v>
      </c>
      <c r="B556" s="1">
        <v>46015.541666666664</v>
      </c>
      <c r="C556" t="s">
        <v>11</v>
      </c>
      <c r="D556" t="s">
        <v>12</v>
      </c>
      <c r="E556" t="s">
        <v>13</v>
      </c>
      <c r="F556">
        <v>3</v>
      </c>
      <c r="G556" t="s">
        <v>26</v>
      </c>
      <c r="H556">
        <v>4.9000000000000004</v>
      </c>
      <c r="I556">
        <v>15.8</v>
      </c>
      <c r="J556">
        <v>9</v>
      </c>
      <c r="K556" t="s">
        <v>15</v>
      </c>
      <c r="L556">
        <v>0</v>
      </c>
      <c r="M556" t="s">
        <v>31</v>
      </c>
      <c r="N556" t="s">
        <v>32</v>
      </c>
      <c r="O556">
        <v>1</v>
      </c>
    </row>
    <row r="557" spans="1:15" x14ac:dyDescent="0.2">
      <c r="A557" t="s">
        <v>590</v>
      </c>
      <c r="B557" s="1">
        <v>46002.375</v>
      </c>
      <c r="C557" t="s">
        <v>11</v>
      </c>
      <c r="D557" t="s">
        <v>12</v>
      </c>
      <c r="E557" t="s">
        <v>18</v>
      </c>
      <c r="F557">
        <v>5</v>
      </c>
      <c r="G557" t="s">
        <v>14</v>
      </c>
      <c r="H557">
        <v>0.1</v>
      </c>
      <c r="I557">
        <v>15.4</v>
      </c>
      <c r="J557">
        <v>9</v>
      </c>
      <c r="K557" t="s">
        <v>19</v>
      </c>
      <c r="L557">
        <v>1</v>
      </c>
      <c r="M557" t="s">
        <v>31</v>
      </c>
      <c r="N557" t="s">
        <v>41</v>
      </c>
      <c r="O557">
        <v>1</v>
      </c>
    </row>
    <row r="558" spans="1:15" x14ac:dyDescent="0.2">
      <c r="A558" t="s">
        <v>591</v>
      </c>
      <c r="B558" s="1">
        <v>46001.416666666664</v>
      </c>
      <c r="C558" t="s">
        <v>20</v>
      </c>
      <c r="D558" t="s">
        <v>16</v>
      </c>
      <c r="E558" t="s">
        <v>23</v>
      </c>
      <c r="F558">
        <v>4</v>
      </c>
      <c r="G558" t="s">
        <v>14</v>
      </c>
      <c r="H558">
        <v>6.7</v>
      </c>
      <c r="I558">
        <v>13.2</v>
      </c>
      <c r="J558">
        <v>12</v>
      </c>
      <c r="K558" t="s">
        <v>15</v>
      </c>
      <c r="L558">
        <v>0</v>
      </c>
      <c r="M558" t="s">
        <v>31</v>
      </c>
      <c r="N558" t="s">
        <v>32</v>
      </c>
      <c r="O558">
        <v>1</v>
      </c>
    </row>
    <row r="559" spans="1:15" x14ac:dyDescent="0.2">
      <c r="A559" t="s">
        <v>592</v>
      </c>
      <c r="B559" s="1">
        <v>46075.75</v>
      </c>
      <c r="C559" t="s">
        <v>22</v>
      </c>
      <c r="D559" t="s">
        <v>16</v>
      </c>
      <c r="E559" t="s">
        <v>13</v>
      </c>
      <c r="F559">
        <v>4</v>
      </c>
      <c r="G559" t="s">
        <v>14</v>
      </c>
      <c r="H559">
        <v>3.8</v>
      </c>
      <c r="I559">
        <v>12.2</v>
      </c>
      <c r="J559">
        <v>11</v>
      </c>
      <c r="K559" t="s">
        <v>19</v>
      </c>
      <c r="L559">
        <v>1</v>
      </c>
      <c r="M559" t="s">
        <v>31</v>
      </c>
      <c r="N559" t="s">
        <v>35</v>
      </c>
      <c r="O559">
        <v>1</v>
      </c>
    </row>
    <row r="560" spans="1:15" x14ac:dyDescent="0.2">
      <c r="A560" t="s">
        <v>593</v>
      </c>
      <c r="B560" s="1">
        <v>46047.291666666664</v>
      </c>
      <c r="C560" t="s">
        <v>11</v>
      </c>
      <c r="D560" t="s">
        <v>17</v>
      </c>
      <c r="E560" t="s">
        <v>13</v>
      </c>
      <c r="F560">
        <v>2</v>
      </c>
      <c r="G560" t="s">
        <v>24</v>
      </c>
      <c r="H560">
        <v>12.3</v>
      </c>
      <c r="I560">
        <v>31.6</v>
      </c>
      <c r="J560">
        <v>9</v>
      </c>
      <c r="K560" t="s">
        <v>15</v>
      </c>
      <c r="L560">
        <v>0</v>
      </c>
      <c r="M560" t="s">
        <v>55</v>
      </c>
      <c r="N560" t="s">
        <v>32</v>
      </c>
      <c r="O560">
        <v>1</v>
      </c>
    </row>
    <row r="561" spans="1:15" x14ac:dyDescent="0.2">
      <c r="A561" t="s">
        <v>594</v>
      </c>
      <c r="B561" s="1">
        <v>46065.625</v>
      </c>
      <c r="C561" t="s">
        <v>11</v>
      </c>
      <c r="D561" t="s">
        <v>17</v>
      </c>
      <c r="E561" t="s">
        <v>23</v>
      </c>
      <c r="F561">
        <v>4</v>
      </c>
      <c r="G561" t="s">
        <v>14</v>
      </c>
      <c r="H561">
        <v>10</v>
      </c>
      <c r="I561">
        <v>22</v>
      </c>
      <c r="J561">
        <v>9</v>
      </c>
      <c r="K561" t="s">
        <v>15</v>
      </c>
      <c r="L561">
        <v>0</v>
      </c>
      <c r="M561" t="s">
        <v>31</v>
      </c>
      <c r="N561" t="s">
        <v>32</v>
      </c>
      <c r="O561">
        <v>1</v>
      </c>
    </row>
    <row r="562" spans="1:15" x14ac:dyDescent="0.2">
      <c r="A562" t="s">
        <v>595</v>
      </c>
      <c r="B562" s="1">
        <v>46025.083333333336</v>
      </c>
      <c r="C562" t="s">
        <v>11</v>
      </c>
      <c r="D562" t="s">
        <v>12</v>
      </c>
      <c r="E562" t="s">
        <v>21</v>
      </c>
      <c r="F562">
        <v>4</v>
      </c>
      <c r="G562" t="s">
        <v>14</v>
      </c>
      <c r="H562">
        <v>3.7</v>
      </c>
      <c r="I562">
        <v>18.3</v>
      </c>
      <c r="J562">
        <v>9</v>
      </c>
      <c r="K562" t="s">
        <v>19</v>
      </c>
      <c r="L562">
        <v>1</v>
      </c>
      <c r="M562" t="s">
        <v>31</v>
      </c>
      <c r="N562" t="s">
        <v>35</v>
      </c>
      <c r="O562">
        <v>1</v>
      </c>
    </row>
    <row r="563" spans="1:15" x14ac:dyDescent="0.2">
      <c r="A563" t="s">
        <v>596</v>
      </c>
      <c r="B563" s="1">
        <v>46019.875</v>
      </c>
      <c r="C563" t="s">
        <v>11</v>
      </c>
      <c r="D563" t="s">
        <v>12</v>
      </c>
      <c r="E563" t="s">
        <v>25</v>
      </c>
      <c r="F563">
        <v>5</v>
      </c>
      <c r="G563" t="s">
        <v>14</v>
      </c>
      <c r="H563">
        <v>3.9</v>
      </c>
      <c r="I563">
        <v>13.4</v>
      </c>
      <c r="J563">
        <v>12</v>
      </c>
      <c r="K563" t="s">
        <v>19</v>
      </c>
      <c r="L563">
        <v>1</v>
      </c>
      <c r="M563" t="s">
        <v>31</v>
      </c>
      <c r="N563" t="s">
        <v>35</v>
      </c>
      <c r="O563">
        <v>1</v>
      </c>
    </row>
    <row r="564" spans="1:15" x14ac:dyDescent="0.2">
      <c r="A564" t="s">
        <v>597</v>
      </c>
      <c r="B564" s="1">
        <v>46078.166666666664</v>
      </c>
      <c r="C564" t="s">
        <v>20</v>
      </c>
      <c r="D564" t="s">
        <v>17</v>
      </c>
      <c r="E564" t="s">
        <v>13</v>
      </c>
      <c r="F564">
        <v>2</v>
      </c>
      <c r="G564" t="s">
        <v>24</v>
      </c>
      <c r="H564">
        <v>6.7</v>
      </c>
      <c r="I564">
        <v>20.6</v>
      </c>
      <c r="J564">
        <v>9</v>
      </c>
      <c r="K564" t="s">
        <v>15</v>
      </c>
      <c r="L564">
        <v>0</v>
      </c>
      <c r="M564" t="s">
        <v>31</v>
      </c>
      <c r="N564" t="s">
        <v>32</v>
      </c>
      <c r="O564">
        <v>1</v>
      </c>
    </row>
    <row r="565" spans="1:15" x14ac:dyDescent="0.2">
      <c r="A565" t="s">
        <v>598</v>
      </c>
      <c r="B565" s="1">
        <v>46004.708333333336</v>
      </c>
      <c r="C565" t="s">
        <v>22</v>
      </c>
      <c r="D565" t="s">
        <v>12</v>
      </c>
      <c r="E565" t="s">
        <v>13</v>
      </c>
      <c r="F565">
        <v>4</v>
      </c>
      <c r="G565" t="s">
        <v>14</v>
      </c>
      <c r="H565">
        <v>8.5</v>
      </c>
      <c r="I565">
        <v>16.600000000000001</v>
      </c>
      <c r="J565">
        <v>11</v>
      </c>
      <c r="K565" t="s">
        <v>15</v>
      </c>
      <c r="L565">
        <v>0</v>
      </c>
      <c r="M565" t="s">
        <v>31</v>
      </c>
      <c r="N565" t="s">
        <v>32</v>
      </c>
      <c r="O565">
        <v>1</v>
      </c>
    </row>
    <row r="566" spans="1:15" x14ac:dyDescent="0.2">
      <c r="A566" t="s">
        <v>599</v>
      </c>
      <c r="B566" s="1">
        <v>46061.625</v>
      </c>
      <c r="C566" t="s">
        <v>11</v>
      </c>
      <c r="D566" t="s">
        <v>17</v>
      </c>
      <c r="E566" t="s">
        <v>23</v>
      </c>
      <c r="F566">
        <v>4</v>
      </c>
      <c r="G566" t="s">
        <v>14</v>
      </c>
      <c r="H566">
        <v>0.1</v>
      </c>
      <c r="I566">
        <v>12.7</v>
      </c>
      <c r="J566">
        <v>12</v>
      </c>
      <c r="K566" t="s">
        <v>19</v>
      </c>
      <c r="L566">
        <v>1</v>
      </c>
      <c r="M566" t="s">
        <v>31</v>
      </c>
      <c r="N566" t="s">
        <v>41</v>
      </c>
      <c r="O566">
        <v>1</v>
      </c>
    </row>
    <row r="567" spans="1:15" x14ac:dyDescent="0.2">
      <c r="A567" t="s">
        <v>600</v>
      </c>
      <c r="B567" s="1">
        <v>46012</v>
      </c>
      <c r="C567" t="s">
        <v>11</v>
      </c>
      <c r="D567" t="s">
        <v>16</v>
      </c>
      <c r="E567" t="s">
        <v>13</v>
      </c>
      <c r="F567">
        <v>5</v>
      </c>
      <c r="G567" t="s">
        <v>14</v>
      </c>
      <c r="H567">
        <v>0.1</v>
      </c>
      <c r="I567">
        <v>10.1</v>
      </c>
      <c r="J567">
        <v>10</v>
      </c>
      <c r="K567" t="s">
        <v>19</v>
      </c>
      <c r="L567">
        <v>1</v>
      </c>
      <c r="M567" t="s">
        <v>31</v>
      </c>
      <c r="N567" t="s">
        <v>41</v>
      </c>
      <c r="O567">
        <v>1</v>
      </c>
    </row>
    <row r="568" spans="1:15" x14ac:dyDescent="0.2">
      <c r="A568" t="s">
        <v>601</v>
      </c>
      <c r="B568" s="1">
        <v>46011.458333333336</v>
      </c>
      <c r="C568" t="s">
        <v>11</v>
      </c>
      <c r="D568" t="s">
        <v>16</v>
      </c>
      <c r="E568" t="s">
        <v>13</v>
      </c>
      <c r="F568">
        <v>5</v>
      </c>
      <c r="G568" t="s">
        <v>14</v>
      </c>
      <c r="H568">
        <v>2.6</v>
      </c>
      <c r="I568">
        <v>11.9</v>
      </c>
      <c r="J568">
        <v>10</v>
      </c>
      <c r="K568" t="s">
        <v>19</v>
      </c>
      <c r="L568">
        <v>1</v>
      </c>
      <c r="M568" t="s">
        <v>31</v>
      </c>
      <c r="N568" t="s">
        <v>35</v>
      </c>
      <c r="O568">
        <v>1</v>
      </c>
    </row>
    <row r="569" spans="1:15" x14ac:dyDescent="0.2">
      <c r="A569" t="s">
        <v>602</v>
      </c>
      <c r="B569" s="1">
        <v>46070.708333333336</v>
      </c>
      <c r="C569" t="s">
        <v>11</v>
      </c>
      <c r="D569" t="s">
        <v>12</v>
      </c>
      <c r="E569" t="s">
        <v>13</v>
      </c>
      <c r="F569">
        <v>5</v>
      </c>
      <c r="G569" t="s">
        <v>14</v>
      </c>
      <c r="H569">
        <v>5.7</v>
      </c>
      <c r="I569">
        <v>1</v>
      </c>
      <c r="J569">
        <v>12</v>
      </c>
      <c r="K569" t="s">
        <v>15</v>
      </c>
      <c r="L569">
        <v>0</v>
      </c>
      <c r="M569" t="s">
        <v>31</v>
      </c>
      <c r="N569" t="s">
        <v>32</v>
      </c>
      <c r="O569">
        <v>1</v>
      </c>
    </row>
    <row r="570" spans="1:15" x14ac:dyDescent="0.2">
      <c r="A570" t="s">
        <v>603</v>
      </c>
      <c r="B570" s="1">
        <v>46067.416666666664</v>
      </c>
      <c r="C570" t="s">
        <v>11</v>
      </c>
      <c r="D570" t="s">
        <v>16</v>
      </c>
      <c r="E570" t="s">
        <v>21</v>
      </c>
      <c r="F570">
        <v>5</v>
      </c>
      <c r="G570" t="s">
        <v>14</v>
      </c>
      <c r="H570">
        <v>5.4</v>
      </c>
      <c r="I570">
        <v>14.2</v>
      </c>
      <c r="J570">
        <v>11</v>
      </c>
      <c r="K570" t="s">
        <v>15</v>
      </c>
      <c r="L570">
        <v>0</v>
      </c>
      <c r="M570" t="s">
        <v>31</v>
      </c>
      <c r="N570" t="s">
        <v>32</v>
      </c>
      <c r="O570">
        <v>1</v>
      </c>
    </row>
    <row r="571" spans="1:15" x14ac:dyDescent="0.2">
      <c r="A571" t="s">
        <v>604</v>
      </c>
      <c r="B571" s="1">
        <v>46066.166666666664</v>
      </c>
      <c r="C571" t="s">
        <v>11</v>
      </c>
      <c r="D571" t="s">
        <v>16</v>
      </c>
      <c r="E571" t="s">
        <v>18</v>
      </c>
      <c r="F571">
        <v>5</v>
      </c>
      <c r="G571" t="s">
        <v>14</v>
      </c>
      <c r="H571">
        <v>6.9</v>
      </c>
      <c r="I571">
        <v>8.6</v>
      </c>
      <c r="J571">
        <v>12</v>
      </c>
      <c r="K571" t="s">
        <v>15</v>
      </c>
      <c r="L571">
        <v>0</v>
      </c>
      <c r="M571" t="s">
        <v>31</v>
      </c>
      <c r="N571" t="s">
        <v>32</v>
      </c>
      <c r="O571">
        <v>1</v>
      </c>
    </row>
    <row r="572" spans="1:15" x14ac:dyDescent="0.2">
      <c r="A572" t="s">
        <v>605</v>
      </c>
      <c r="B572" s="1">
        <v>46062.375</v>
      </c>
      <c r="C572" t="s">
        <v>11</v>
      </c>
      <c r="D572" t="s">
        <v>16</v>
      </c>
      <c r="E572" t="s">
        <v>23</v>
      </c>
      <c r="F572">
        <v>4</v>
      </c>
      <c r="G572" t="s">
        <v>14</v>
      </c>
      <c r="H572">
        <v>1.2</v>
      </c>
      <c r="I572">
        <v>25.2</v>
      </c>
      <c r="J572">
        <v>12</v>
      </c>
      <c r="K572" t="s">
        <v>19</v>
      </c>
      <c r="L572">
        <v>1</v>
      </c>
      <c r="M572" t="s">
        <v>55</v>
      </c>
      <c r="N572" t="s">
        <v>35</v>
      </c>
      <c r="O572">
        <v>1</v>
      </c>
    </row>
    <row r="573" spans="1:15" x14ac:dyDescent="0.2">
      <c r="A573" t="s">
        <v>606</v>
      </c>
      <c r="B573" s="1">
        <v>46044.333333333336</v>
      </c>
      <c r="C573" t="s">
        <v>11</v>
      </c>
      <c r="D573" t="s">
        <v>12</v>
      </c>
      <c r="E573" t="s">
        <v>18</v>
      </c>
      <c r="F573">
        <v>4</v>
      </c>
      <c r="G573" t="s">
        <v>14</v>
      </c>
      <c r="H573">
        <v>0.1</v>
      </c>
      <c r="I573">
        <v>12.7</v>
      </c>
      <c r="J573">
        <v>12</v>
      </c>
      <c r="K573" t="s">
        <v>19</v>
      </c>
      <c r="L573">
        <v>1</v>
      </c>
      <c r="M573" t="s">
        <v>31</v>
      </c>
      <c r="N573" t="s">
        <v>41</v>
      </c>
      <c r="O573">
        <v>1</v>
      </c>
    </row>
    <row r="574" spans="1:15" x14ac:dyDescent="0.2">
      <c r="A574" t="s">
        <v>607</v>
      </c>
      <c r="B574" s="1">
        <v>46047.458333333336</v>
      </c>
      <c r="C574" t="s">
        <v>11</v>
      </c>
      <c r="D574" t="s">
        <v>16</v>
      </c>
      <c r="E574" t="s">
        <v>23</v>
      </c>
      <c r="F574">
        <v>5</v>
      </c>
      <c r="G574" t="s">
        <v>14</v>
      </c>
      <c r="H574">
        <v>6.3</v>
      </c>
      <c r="I574">
        <v>3</v>
      </c>
      <c r="J574">
        <v>12</v>
      </c>
      <c r="K574" t="s">
        <v>15</v>
      </c>
      <c r="L574">
        <v>0</v>
      </c>
      <c r="M574" t="s">
        <v>31</v>
      </c>
      <c r="N574" t="s">
        <v>32</v>
      </c>
      <c r="O574">
        <v>1</v>
      </c>
    </row>
    <row r="575" spans="1:15" x14ac:dyDescent="0.2">
      <c r="A575" t="s">
        <v>608</v>
      </c>
      <c r="B575" s="1">
        <v>46020.375</v>
      </c>
      <c r="C575" t="s">
        <v>11</v>
      </c>
      <c r="D575" t="s">
        <v>17</v>
      </c>
      <c r="E575" t="s">
        <v>23</v>
      </c>
      <c r="F575">
        <v>5</v>
      </c>
      <c r="G575" t="s">
        <v>14</v>
      </c>
      <c r="H575">
        <v>2.1</v>
      </c>
      <c r="I575">
        <v>12.1</v>
      </c>
      <c r="J575">
        <v>9</v>
      </c>
      <c r="K575" t="s">
        <v>19</v>
      </c>
      <c r="L575">
        <v>1</v>
      </c>
      <c r="M575" t="s">
        <v>31</v>
      </c>
      <c r="N575" t="s">
        <v>35</v>
      </c>
      <c r="O575">
        <v>1</v>
      </c>
    </row>
    <row r="576" spans="1:15" x14ac:dyDescent="0.2">
      <c r="A576" t="s">
        <v>609</v>
      </c>
      <c r="B576" s="1">
        <v>46050.416666666664</v>
      </c>
      <c r="C576" t="s">
        <v>11</v>
      </c>
      <c r="D576" t="s">
        <v>12</v>
      </c>
      <c r="E576" t="s">
        <v>13</v>
      </c>
      <c r="F576">
        <v>5</v>
      </c>
      <c r="G576" t="s">
        <v>14</v>
      </c>
      <c r="H576">
        <v>0.1</v>
      </c>
      <c r="I576">
        <v>4.0999999999999996</v>
      </c>
      <c r="J576">
        <v>10</v>
      </c>
      <c r="K576" t="s">
        <v>19</v>
      </c>
      <c r="L576">
        <v>1</v>
      </c>
      <c r="M576" t="s">
        <v>31</v>
      </c>
      <c r="N576" t="s">
        <v>41</v>
      </c>
      <c r="O576">
        <v>1</v>
      </c>
    </row>
    <row r="577" spans="1:15" x14ac:dyDescent="0.2">
      <c r="A577" t="s">
        <v>610</v>
      </c>
      <c r="B577" s="1">
        <v>46011.833333333336</v>
      </c>
      <c r="C577" t="s">
        <v>11</v>
      </c>
      <c r="D577" t="s">
        <v>12</v>
      </c>
      <c r="E577" t="s">
        <v>25</v>
      </c>
      <c r="F577">
        <v>4</v>
      </c>
      <c r="G577" t="s">
        <v>14</v>
      </c>
      <c r="H577">
        <v>4.5999999999999996</v>
      </c>
      <c r="I577">
        <v>16.3</v>
      </c>
      <c r="J577">
        <v>11</v>
      </c>
      <c r="K577" t="s">
        <v>15</v>
      </c>
      <c r="L577">
        <v>0</v>
      </c>
      <c r="M577" t="s">
        <v>31</v>
      </c>
      <c r="N577" t="s">
        <v>32</v>
      </c>
      <c r="O577">
        <v>1</v>
      </c>
    </row>
    <row r="578" spans="1:15" x14ac:dyDescent="0.2">
      <c r="A578" t="s">
        <v>611</v>
      </c>
      <c r="B578" s="1">
        <v>46032.75</v>
      </c>
      <c r="C578" t="s">
        <v>20</v>
      </c>
      <c r="D578" t="s">
        <v>12</v>
      </c>
      <c r="E578" t="s">
        <v>18</v>
      </c>
      <c r="F578">
        <v>3</v>
      </c>
      <c r="G578" t="s">
        <v>26</v>
      </c>
      <c r="H578">
        <v>6.2</v>
      </c>
      <c r="I578">
        <v>14.8</v>
      </c>
      <c r="J578">
        <v>9</v>
      </c>
      <c r="K578" t="s">
        <v>15</v>
      </c>
      <c r="L578">
        <v>0</v>
      </c>
      <c r="M578" t="s">
        <v>31</v>
      </c>
      <c r="N578" t="s">
        <v>32</v>
      </c>
      <c r="O578">
        <v>1</v>
      </c>
    </row>
    <row r="579" spans="1:15" x14ac:dyDescent="0.2">
      <c r="A579" t="s">
        <v>612</v>
      </c>
      <c r="B579" s="1">
        <v>46005.333333333336</v>
      </c>
      <c r="C579" t="s">
        <v>11</v>
      </c>
      <c r="D579" t="s">
        <v>16</v>
      </c>
      <c r="E579" t="s">
        <v>25</v>
      </c>
      <c r="F579">
        <v>4</v>
      </c>
      <c r="G579" t="s">
        <v>14</v>
      </c>
      <c r="H579">
        <v>3.9</v>
      </c>
      <c r="I579">
        <v>20.2</v>
      </c>
      <c r="J579">
        <v>10</v>
      </c>
      <c r="K579" t="s">
        <v>19</v>
      </c>
      <c r="L579">
        <v>1</v>
      </c>
      <c r="M579" t="s">
        <v>31</v>
      </c>
      <c r="N579" t="s">
        <v>35</v>
      </c>
      <c r="O579">
        <v>1</v>
      </c>
    </row>
    <row r="580" spans="1:15" x14ac:dyDescent="0.2">
      <c r="A580" t="s">
        <v>613</v>
      </c>
      <c r="B580" s="1">
        <v>46064.916666666664</v>
      </c>
      <c r="C580" t="s">
        <v>11</v>
      </c>
      <c r="D580" t="s">
        <v>16</v>
      </c>
      <c r="E580" t="s">
        <v>23</v>
      </c>
      <c r="F580">
        <v>5</v>
      </c>
      <c r="G580" t="s">
        <v>14</v>
      </c>
      <c r="H580">
        <v>3.1</v>
      </c>
      <c r="I580">
        <v>6.2</v>
      </c>
      <c r="J580">
        <v>12</v>
      </c>
      <c r="K580" t="s">
        <v>19</v>
      </c>
      <c r="L580">
        <v>1</v>
      </c>
      <c r="M580" t="s">
        <v>31</v>
      </c>
      <c r="N580" t="s">
        <v>35</v>
      </c>
      <c r="O580">
        <v>1</v>
      </c>
    </row>
    <row r="581" spans="1:15" x14ac:dyDescent="0.2">
      <c r="A581" t="s">
        <v>614</v>
      </c>
      <c r="B581" s="1">
        <v>46046.458333333336</v>
      </c>
      <c r="C581" t="s">
        <v>11</v>
      </c>
      <c r="D581" t="s">
        <v>16</v>
      </c>
      <c r="E581" t="s">
        <v>25</v>
      </c>
      <c r="F581">
        <v>4</v>
      </c>
      <c r="G581" t="s">
        <v>14</v>
      </c>
      <c r="H581">
        <v>3.8</v>
      </c>
      <c r="I581">
        <v>12.8</v>
      </c>
      <c r="J581">
        <v>10</v>
      </c>
      <c r="K581" t="s">
        <v>19</v>
      </c>
      <c r="L581">
        <v>1</v>
      </c>
      <c r="M581" t="s">
        <v>31</v>
      </c>
      <c r="N581" t="s">
        <v>35</v>
      </c>
      <c r="O581">
        <v>1</v>
      </c>
    </row>
    <row r="582" spans="1:15" x14ac:dyDescent="0.2">
      <c r="A582" t="s">
        <v>615</v>
      </c>
      <c r="B582" s="1">
        <v>46038.333333333336</v>
      </c>
      <c r="C582" t="s">
        <v>11</v>
      </c>
      <c r="D582" t="s">
        <v>12</v>
      </c>
      <c r="E582" t="s">
        <v>13</v>
      </c>
      <c r="F582">
        <v>4</v>
      </c>
      <c r="G582" t="s">
        <v>14</v>
      </c>
      <c r="H582">
        <v>3.3</v>
      </c>
      <c r="I582">
        <v>1.6</v>
      </c>
      <c r="J582">
        <v>10</v>
      </c>
      <c r="K582" t="s">
        <v>19</v>
      </c>
      <c r="L582">
        <v>1</v>
      </c>
      <c r="M582" t="s">
        <v>31</v>
      </c>
      <c r="N582" t="s">
        <v>35</v>
      </c>
      <c r="O582">
        <v>1</v>
      </c>
    </row>
    <row r="583" spans="1:15" x14ac:dyDescent="0.2">
      <c r="A583" t="s">
        <v>616</v>
      </c>
      <c r="B583" s="1">
        <v>46048</v>
      </c>
      <c r="C583" t="s">
        <v>11</v>
      </c>
      <c r="D583" t="s">
        <v>12</v>
      </c>
      <c r="E583" t="s">
        <v>21</v>
      </c>
      <c r="F583">
        <v>5</v>
      </c>
      <c r="G583" t="s">
        <v>14</v>
      </c>
      <c r="H583">
        <v>0.8</v>
      </c>
      <c r="I583">
        <v>18.100000000000001</v>
      </c>
      <c r="J583">
        <v>9</v>
      </c>
      <c r="K583" t="s">
        <v>19</v>
      </c>
      <c r="L583">
        <v>1</v>
      </c>
      <c r="M583" t="s">
        <v>31</v>
      </c>
      <c r="N583" t="s">
        <v>41</v>
      </c>
      <c r="O583">
        <v>1</v>
      </c>
    </row>
    <row r="584" spans="1:15" x14ac:dyDescent="0.2">
      <c r="A584" t="s">
        <v>617</v>
      </c>
      <c r="B584" s="1">
        <v>46045.041666666664</v>
      </c>
      <c r="C584" t="s">
        <v>11</v>
      </c>
      <c r="D584" t="s">
        <v>16</v>
      </c>
      <c r="E584" t="s">
        <v>23</v>
      </c>
      <c r="F584">
        <v>4</v>
      </c>
      <c r="G584" t="s">
        <v>14</v>
      </c>
      <c r="H584">
        <v>2.4</v>
      </c>
      <c r="I584">
        <v>16.7</v>
      </c>
      <c r="J584">
        <v>9</v>
      </c>
      <c r="K584" t="s">
        <v>19</v>
      </c>
      <c r="L584">
        <v>1</v>
      </c>
      <c r="M584" t="s">
        <v>31</v>
      </c>
      <c r="N584" t="s">
        <v>35</v>
      </c>
      <c r="O584">
        <v>1</v>
      </c>
    </row>
    <row r="585" spans="1:15" x14ac:dyDescent="0.2">
      <c r="A585" t="s">
        <v>618</v>
      </c>
      <c r="B585" s="1">
        <v>46043.25</v>
      </c>
      <c r="C585" t="s">
        <v>11</v>
      </c>
      <c r="D585" t="s">
        <v>16</v>
      </c>
      <c r="E585" t="s">
        <v>23</v>
      </c>
      <c r="F585">
        <v>5</v>
      </c>
      <c r="G585" t="s">
        <v>14</v>
      </c>
      <c r="H585">
        <v>5.5</v>
      </c>
      <c r="I585">
        <v>16.5</v>
      </c>
      <c r="J585">
        <v>11</v>
      </c>
      <c r="K585" t="s">
        <v>15</v>
      </c>
      <c r="L585">
        <v>0</v>
      </c>
      <c r="M585" t="s">
        <v>31</v>
      </c>
      <c r="N585" t="s">
        <v>32</v>
      </c>
      <c r="O585">
        <v>1</v>
      </c>
    </row>
    <row r="586" spans="1:15" x14ac:dyDescent="0.2">
      <c r="A586" t="s">
        <v>619</v>
      </c>
      <c r="B586" s="1">
        <v>46007.125</v>
      </c>
      <c r="C586" t="s">
        <v>11</v>
      </c>
      <c r="D586" t="s">
        <v>17</v>
      </c>
      <c r="E586" t="s">
        <v>25</v>
      </c>
      <c r="F586">
        <v>4</v>
      </c>
      <c r="G586" t="s">
        <v>14</v>
      </c>
      <c r="H586">
        <v>5</v>
      </c>
      <c r="I586">
        <v>12.5</v>
      </c>
      <c r="J586">
        <v>12</v>
      </c>
      <c r="K586" t="s">
        <v>15</v>
      </c>
      <c r="L586">
        <v>0</v>
      </c>
      <c r="M586" t="s">
        <v>31</v>
      </c>
      <c r="N586" t="s">
        <v>32</v>
      </c>
      <c r="O586">
        <v>1</v>
      </c>
    </row>
    <row r="587" spans="1:15" x14ac:dyDescent="0.2">
      <c r="A587" t="s">
        <v>620</v>
      </c>
      <c r="B587" s="1">
        <v>46019.833333333336</v>
      </c>
      <c r="C587" t="s">
        <v>11</v>
      </c>
      <c r="D587" t="s">
        <v>12</v>
      </c>
      <c r="E587" t="s">
        <v>25</v>
      </c>
      <c r="F587">
        <v>4</v>
      </c>
      <c r="G587" t="s">
        <v>14</v>
      </c>
      <c r="H587">
        <v>4.5999999999999996</v>
      </c>
      <c r="I587">
        <v>15.8</v>
      </c>
      <c r="J587">
        <v>12</v>
      </c>
      <c r="K587" t="s">
        <v>15</v>
      </c>
      <c r="L587">
        <v>0</v>
      </c>
      <c r="M587" t="s">
        <v>31</v>
      </c>
      <c r="N587" t="s">
        <v>32</v>
      </c>
      <c r="O587">
        <v>1</v>
      </c>
    </row>
    <row r="588" spans="1:15" x14ac:dyDescent="0.2">
      <c r="A588" t="s">
        <v>621</v>
      </c>
      <c r="B588" s="1">
        <v>46024.291666666664</v>
      </c>
      <c r="C588" t="s">
        <v>22</v>
      </c>
      <c r="D588" t="s">
        <v>16</v>
      </c>
      <c r="E588" t="s">
        <v>13</v>
      </c>
      <c r="F588">
        <v>4</v>
      </c>
      <c r="G588" t="s">
        <v>14</v>
      </c>
      <c r="H588">
        <v>1.7</v>
      </c>
      <c r="I588">
        <v>25.3</v>
      </c>
      <c r="J588">
        <v>12</v>
      </c>
      <c r="K588" t="s">
        <v>19</v>
      </c>
      <c r="L588">
        <v>1</v>
      </c>
      <c r="M588" t="s">
        <v>55</v>
      </c>
      <c r="N588" t="s">
        <v>35</v>
      </c>
      <c r="O588">
        <v>1</v>
      </c>
    </row>
    <row r="589" spans="1:15" x14ac:dyDescent="0.2">
      <c r="A589" t="s">
        <v>622</v>
      </c>
      <c r="B589" s="1">
        <v>46020.541666666664</v>
      </c>
      <c r="C589" t="s">
        <v>20</v>
      </c>
      <c r="D589" t="s">
        <v>12</v>
      </c>
      <c r="E589" t="s">
        <v>25</v>
      </c>
      <c r="F589">
        <v>5</v>
      </c>
      <c r="G589" t="s">
        <v>14</v>
      </c>
      <c r="H589">
        <v>3.7</v>
      </c>
      <c r="I589">
        <v>10.199999999999999</v>
      </c>
      <c r="J589">
        <v>10</v>
      </c>
      <c r="K589" t="s">
        <v>19</v>
      </c>
      <c r="L589">
        <v>1</v>
      </c>
      <c r="M589" t="s">
        <v>31</v>
      </c>
      <c r="N589" t="s">
        <v>35</v>
      </c>
      <c r="O589">
        <v>1</v>
      </c>
    </row>
    <row r="590" spans="1:15" x14ac:dyDescent="0.2">
      <c r="A590" t="s">
        <v>623</v>
      </c>
      <c r="B590" s="1">
        <v>46039.291666666664</v>
      </c>
      <c r="C590" t="s">
        <v>20</v>
      </c>
      <c r="D590" t="s">
        <v>16</v>
      </c>
      <c r="E590" t="s">
        <v>13</v>
      </c>
      <c r="F590">
        <v>3</v>
      </c>
      <c r="G590" t="s">
        <v>26</v>
      </c>
      <c r="H590">
        <v>0.1</v>
      </c>
      <c r="I590">
        <v>13.6</v>
      </c>
      <c r="J590">
        <v>10</v>
      </c>
      <c r="K590" t="s">
        <v>19</v>
      </c>
      <c r="L590">
        <v>1</v>
      </c>
      <c r="M590" t="s">
        <v>31</v>
      </c>
      <c r="N590" t="s">
        <v>41</v>
      </c>
      <c r="O590">
        <v>1</v>
      </c>
    </row>
    <row r="591" spans="1:15" x14ac:dyDescent="0.2">
      <c r="A591" t="s">
        <v>624</v>
      </c>
      <c r="B591" s="1">
        <v>46012.5</v>
      </c>
      <c r="C591" t="s">
        <v>20</v>
      </c>
      <c r="D591" t="s">
        <v>16</v>
      </c>
      <c r="E591" t="s">
        <v>25</v>
      </c>
      <c r="F591">
        <v>3</v>
      </c>
      <c r="G591" t="s">
        <v>26</v>
      </c>
      <c r="H591">
        <v>4.5999999999999996</v>
      </c>
      <c r="I591">
        <v>3.8</v>
      </c>
      <c r="J591">
        <v>12</v>
      </c>
      <c r="K591" t="s">
        <v>15</v>
      </c>
      <c r="L591">
        <v>0</v>
      </c>
      <c r="M591" t="s">
        <v>31</v>
      </c>
      <c r="N591" t="s">
        <v>32</v>
      </c>
      <c r="O591">
        <v>1</v>
      </c>
    </row>
    <row r="592" spans="1:15" x14ac:dyDescent="0.2">
      <c r="A592" t="s">
        <v>625</v>
      </c>
      <c r="B592" s="1">
        <v>46023.583333333336</v>
      </c>
      <c r="C592" t="s">
        <v>20</v>
      </c>
      <c r="D592" t="s">
        <v>16</v>
      </c>
      <c r="E592" t="s">
        <v>21</v>
      </c>
      <c r="F592">
        <v>5</v>
      </c>
      <c r="G592" t="s">
        <v>14</v>
      </c>
      <c r="H592">
        <v>7.8</v>
      </c>
      <c r="I592">
        <v>5.6</v>
      </c>
      <c r="J592">
        <v>11</v>
      </c>
      <c r="K592" t="s">
        <v>15</v>
      </c>
      <c r="L592">
        <v>0</v>
      </c>
      <c r="M592" t="s">
        <v>31</v>
      </c>
      <c r="N592" t="s">
        <v>32</v>
      </c>
      <c r="O592">
        <v>1</v>
      </c>
    </row>
    <row r="593" spans="1:15" x14ac:dyDescent="0.2">
      <c r="A593" t="s">
        <v>626</v>
      </c>
      <c r="B593" s="1">
        <v>46057.083333333336</v>
      </c>
      <c r="C593" t="s">
        <v>11</v>
      </c>
      <c r="D593" t="s">
        <v>17</v>
      </c>
      <c r="E593" t="s">
        <v>21</v>
      </c>
      <c r="F593">
        <v>3</v>
      </c>
      <c r="G593" t="s">
        <v>26</v>
      </c>
      <c r="H593">
        <v>0.5</v>
      </c>
      <c r="I593">
        <v>13.3</v>
      </c>
      <c r="J593">
        <v>10</v>
      </c>
      <c r="K593" t="s">
        <v>19</v>
      </c>
      <c r="L593">
        <v>1</v>
      </c>
      <c r="M593" t="s">
        <v>31</v>
      </c>
      <c r="N593" t="s">
        <v>41</v>
      </c>
      <c r="O593">
        <v>1</v>
      </c>
    </row>
    <row r="594" spans="1:15" x14ac:dyDescent="0.2">
      <c r="A594" t="s">
        <v>627</v>
      </c>
      <c r="B594" s="1">
        <v>46051.25</v>
      </c>
      <c r="C594" t="s">
        <v>20</v>
      </c>
      <c r="D594" t="s">
        <v>12</v>
      </c>
      <c r="E594" t="s">
        <v>25</v>
      </c>
      <c r="F594">
        <v>5</v>
      </c>
      <c r="G594" t="s">
        <v>14</v>
      </c>
      <c r="H594">
        <v>2.7</v>
      </c>
      <c r="I594">
        <v>21.3</v>
      </c>
      <c r="J594">
        <v>11</v>
      </c>
      <c r="K594" t="s">
        <v>19</v>
      </c>
      <c r="L594">
        <v>1</v>
      </c>
      <c r="M594" t="s">
        <v>31</v>
      </c>
      <c r="N594" t="s">
        <v>35</v>
      </c>
      <c r="O594">
        <v>1</v>
      </c>
    </row>
    <row r="595" spans="1:15" x14ac:dyDescent="0.2">
      <c r="A595" t="s">
        <v>628</v>
      </c>
      <c r="B595" s="1">
        <v>46032.708333333336</v>
      </c>
      <c r="C595" t="s">
        <v>11</v>
      </c>
      <c r="D595" t="s">
        <v>12</v>
      </c>
      <c r="E595" t="s">
        <v>23</v>
      </c>
      <c r="F595">
        <v>5</v>
      </c>
      <c r="G595" t="s">
        <v>14</v>
      </c>
      <c r="H595">
        <v>5</v>
      </c>
      <c r="I595">
        <v>10.4</v>
      </c>
      <c r="J595">
        <v>10</v>
      </c>
      <c r="K595" t="s">
        <v>15</v>
      </c>
      <c r="L595">
        <v>0</v>
      </c>
      <c r="M595" t="s">
        <v>31</v>
      </c>
      <c r="N595" t="s">
        <v>32</v>
      </c>
      <c r="O595">
        <v>1</v>
      </c>
    </row>
    <row r="596" spans="1:15" x14ac:dyDescent="0.2">
      <c r="A596" t="s">
        <v>629</v>
      </c>
      <c r="B596" s="1">
        <v>46029.958333333336</v>
      </c>
      <c r="C596" t="s">
        <v>11</v>
      </c>
      <c r="D596" t="s">
        <v>16</v>
      </c>
      <c r="E596" t="s">
        <v>13</v>
      </c>
      <c r="F596">
        <v>4</v>
      </c>
      <c r="G596" t="s">
        <v>14</v>
      </c>
      <c r="H596">
        <v>7.3</v>
      </c>
      <c r="I596">
        <v>10.6</v>
      </c>
      <c r="J596">
        <v>9</v>
      </c>
      <c r="K596" t="s">
        <v>15</v>
      </c>
      <c r="L596">
        <v>0</v>
      </c>
      <c r="M596" t="s">
        <v>31</v>
      </c>
      <c r="N596" t="s">
        <v>32</v>
      </c>
      <c r="O596">
        <v>1</v>
      </c>
    </row>
    <row r="597" spans="1:15" x14ac:dyDescent="0.2">
      <c r="A597" t="s">
        <v>630</v>
      </c>
      <c r="B597" s="1">
        <v>46041.041666666664</v>
      </c>
      <c r="C597" t="s">
        <v>11</v>
      </c>
      <c r="D597" t="s">
        <v>16</v>
      </c>
      <c r="E597" t="s">
        <v>21</v>
      </c>
      <c r="F597">
        <v>5</v>
      </c>
      <c r="G597" t="s">
        <v>14</v>
      </c>
      <c r="H597">
        <v>3.1</v>
      </c>
      <c r="I597">
        <v>9.1999999999999993</v>
      </c>
      <c r="J597">
        <v>9</v>
      </c>
      <c r="K597" t="s">
        <v>19</v>
      </c>
      <c r="L597">
        <v>1</v>
      </c>
      <c r="M597" t="s">
        <v>31</v>
      </c>
      <c r="N597" t="s">
        <v>35</v>
      </c>
      <c r="O597">
        <v>1</v>
      </c>
    </row>
    <row r="598" spans="1:15" x14ac:dyDescent="0.2">
      <c r="A598" t="s">
        <v>631</v>
      </c>
      <c r="B598" s="1">
        <v>46021.083333333336</v>
      </c>
      <c r="C598" t="s">
        <v>11</v>
      </c>
      <c r="D598" t="s">
        <v>12</v>
      </c>
      <c r="E598" t="s">
        <v>13</v>
      </c>
      <c r="F598">
        <v>3</v>
      </c>
      <c r="G598" t="s">
        <v>26</v>
      </c>
      <c r="H598">
        <v>2.5</v>
      </c>
      <c r="I598">
        <v>8.1999999999999993</v>
      </c>
      <c r="J598">
        <v>12</v>
      </c>
      <c r="K598" t="s">
        <v>19</v>
      </c>
      <c r="L598">
        <v>1</v>
      </c>
      <c r="M598" t="s">
        <v>31</v>
      </c>
      <c r="N598" t="s">
        <v>35</v>
      </c>
      <c r="O598">
        <v>1</v>
      </c>
    </row>
    <row r="599" spans="1:15" x14ac:dyDescent="0.2">
      <c r="A599" t="s">
        <v>632</v>
      </c>
      <c r="B599" s="1">
        <v>46033.5</v>
      </c>
      <c r="C599" t="s">
        <v>20</v>
      </c>
      <c r="D599" t="s">
        <v>12</v>
      </c>
      <c r="E599" t="s">
        <v>23</v>
      </c>
      <c r="F599">
        <v>5</v>
      </c>
      <c r="G599" t="s">
        <v>14</v>
      </c>
      <c r="H599">
        <v>0.1</v>
      </c>
      <c r="I599">
        <v>14.9</v>
      </c>
      <c r="J599">
        <v>9</v>
      </c>
      <c r="K599" t="s">
        <v>19</v>
      </c>
      <c r="L599">
        <v>1</v>
      </c>
      <c r="M599" t="s">
        <v>31</v>
      </c>
      <c r="N599" t="s">
        <v>41</v>
      </c>
      <c r="O599">
        <v>1</v>
      </c>
    </row>
    <row r="600" spans="1:15" x14ac:dyDescent="0.2">
      <c r="A600" t="s">
        <v>633</v>
      </c>
      <c r="B600" s="1">
        <v>45997.166666666664</v>
      </c>
      <c r="C600" t="s">
        <v>20</v>
      </c>
      <c r="D600" t="s">
        <v>12</v>
      </c>
      <c r="E600" t="s">
        <v>13</v>
      </c>
      <c r="F600">
        <v>4</v>
      </c>
      <c r="G600" t="s">
        <v>14</v>
      </c>
      <c r="H600">
        <v>4.5</v>
      </c>
      <c r="I600">
        <v>1</v>
      </c>
      <c r="J600">
        <v>10</v>
      </c>
      <c r="K600" t="s">
        <v>15</v>
      </c>
      <c r="L600">
        <v>0</v>
      </c>
      <c r="M600" t="s">
        <v>31</v>
      </c>
      <c r="N600" t="s">
        <v>32</v>
      </c>
      <c r="O600">
        <v>1</v>
      </c>
    </row>
    <row r="601" spans="1:15" x14ac:dyDescent="0.2">
      <c r="A601" t="s">
        <v>634</v>
      </c>
      <c r="B601" s="1">
        <v>46062.375</v>
      </c>
      <c r="C601" t="s">
        <v>22</v>
      </c>
      <c r="D601" t="s">
        <v>17</v>
      </c>
      <c r="E601" t="s">
        <v>13</v>
      </c>
      <c r="F601">
        <v>5</v>
      </c>
      <c r="G601" t="s">
        <v>14</v>
      </c>
      <c r="H601">
        <v>9.3000000000000007</v>
      </c>
      <c r="I601">
        <v>22.7</v>
      </c>
      <c r="J601">
        <v>10</v>
      </c>
      <c r="K601" t="s">
        <v>15</v>
      </c>
      <c r="L601">
        <v>0</v>
      </c>
      <c r="M601" t="s">
        <v>31</v>
      </c>
      <c r="N601" t="s">
        <v>32</v>
      </c>
      <c r="O601">
        <v>1</v>
      </c>
    </row>
    <row r="602" spans="1:15" x14ac:dyDescent="0.2">
      <c r="A602" t="s">
        <v>635</v>
      </c>
      <c r="B602" s="1">
        <v>46077.833333333336</v>
      </c>
      <c r="C602" t="s">
        <v>20</v>
      </c>
      <c r="D602" t="s">
        <v>12</v>
      </c>
      <c r="E602" t="s">
        <v>25</v>
      </c>
      <c r="F602">
        <v>3</v>
      </c>
      <c r="G602" t="s">
        <v>26</v>
      </c>
      <c r="H602">
        <v>4.9000000000000004</v>
      </c>
      <c r="I602">
        <v>7.2</v>
      </c>
      <c r="J602">
        <v>9</v>
      </c>
      <c r="K602" t="s">
        <v>15</v>
      </c>
      <c r="L602">
        <v>0</v>
      </c>
      <c r="M602" t="s">
        <v>31</v>
      </c>
      <c r="N602" t="s">
        <v>32</v>
      </c>
      <c r="O602">
        <v>1</v>
      </c>
    </row>
    <row r="603" spans="1:15" x14ac:dyDescent="0.2">
      <c r="A603" t="s">
        <v>636</v>
      </c>
      <c r="B603" s="1">
        <v>46017.25</v>
      </c>
      <c r="C603" t="s">
        <v>11</v>
      </c>
      <c r="D603" t="s">
        <v>12</v>
      </c>
      <c r="E603" t="s">
        <v>13</v>
      </c>
      <c r="F603">
        <v>5</v>
      </c>
      <c r="G603" t="s">
        <v>14</v>
      </c>
      <c r="H603">
        <v>4.0999999999999996</v>
      </c>
      <c r="I603">
        <v>18.3</v>
      </c>
      <c r="J603">
        <v>9</v>
      </c>
      <c r="K603" t="s">
        <v>15</v>
      </c>
      <c r="L603">
        <v>0</v>
      </c>
      <c r="M603" t="s">
        <v>31</v>
      </c>
      <c r="N603" t="s">
        <v>32</v>
      </c>
      <c r="O603">
        <v>1</v>
      </c>
    </row>
    <row r="604" spans="1:15" x14ac:dyDescent="0.2">
      <c r="A604" t="s">
        <v>637</v>
      </c>
      <c r="B604" s="1">
        <v>46039.875</v>
      </c>
      <c r="C604" t="s">
        <v>20</v>
      </c>
      <c r="D604" t="s">
        <v>12</v>
      </c>
      <c r="E604" t="s">
        <v>25</v>
      </c>
      <c r="F604">
        <v>3</v>
      </c>
      <c r="G604" t="s">
        <v>26</v>
      </c>
      <c r="H604">
        <v>5</v>
      </c>
      <c r="I604">
        <v>2.2999999999999998</v>
      </c>
      <c r="J604">
        <v>9</v>
      </c>
      <c r="K604" t="s">
        <v>15</v>
      </c>
      <c r="L604">
        <v>0</v>
      </c>
      <c r="M604" t="s">
        <v>31</v>
      </c>
      <c r="N604" t="s">
        <v>32</v>
      </c>
      <c r="O604">
        <v>1</v>
      </c>
    </row>
    <row r="605" spans="1:15" x14ac:dyDescent="0.2">
      <c r="A605" t="s">
        <v>638</v>
      </c>
      <c r="B605" s="1">
        <v>46025.875</v>
      </c>
      <c r="C605" t="s">
        <v>20</v>
      </c>
      <c r="D605" t="s">
        <v>12</v>
      </c>
      <c r="E605" t="s">
        <v>23</v>
      </c>
      <c r="F605">
        <v>4</v>
      </c>
      <c r="G605" t="s">
        <v>14</v>
      </c>
      <c r="H605">
        <v>4.2</v>
      </c>
      <c r="I605">
        <v>17.899999999999999</v>
      </c>
      <c r="J605">
        <v>12</v>
      </c>
      <c r="K605" t="s">
        <v>15</v>
      </c>
      <c r="L605">
        <v>0</v>
      </c>
      <c r="M605" t="s">
        <v>31</v>
      </c>
      <c r="N605" t="s">
        <v>32</v>
      </c>
      <c r="O605">
        <v>1</v>
      </c>
    </row>
    <row r="606" spans="1:15" x14ac:dyDescent="0.2">
      <c r="A606" t="s">
        <v>639</v>
      </c>
      <c r="B606" s="1">
        <v>46014.416666666664</v>
      </c>
      <c r="C606" t="s">
        <v>20</v>
      </c>
      <c r="D606" t="s">
        <v>12</v>
      </c>
      <c r="E606" t="s">
        <v>13</v>
      </c>
      <c r="F606">
        <v>3</v>
      </c>
      <c r="G606" t="s">
        <v>26</v>
      </c>
      <c r="H606">
        <v>2.2000000000000002</v>
      </c>
      <c r="I606">
        <v>17.899999999999999</v>
      </c>
      <c r="J606">
        <v>9</v>
      </c>
      <c r="K606" t="s">
        <v>19</v>
      </c>
      <c r="L606">
        <v>1</v>
      </c>
      <c r="M606" t="s">
        <v>31</v>
      </c>
      <c r="N606" t="s">
        <v>35</v>
      </c>
      <c r="O606">
        <v>1</v>
      </c>
    </row>
    <row r="607" spans="1:15" x14ac:dyDescent="0.2">
      <c r="A607" t="s">
        <v>640</v>
      </c>
      <c r="B607" s="1">
        <v>46080.041666666664</v>
      </c>
      <c r="C607" t="s">
        <v>11</v>
      </c>
      <c r="D607" t="s">
        <v>16</v>
      </c>
      <c r="E607" t="s">
        <v>23</v>
      </c>
      <c r="F607">
        <v>3</v>
      </c>
      <c r="G607" t="s">
        <v>26</v>
      </c>
      <c r="H607">
        <v>6.3</v>
      </c>
      <c r="I607">
        <v>15.6</v>
      </c>
      <c r="J607">
        <v>10</v>
      </c>
      <c r="K607" t="s">
        <v>15</v>
      </c>
      <c r="L607">
        <v>0</v>
      </c>
      <c r="M607" t="s">
        <v>31</v>
      </c>
      <c r="N607" t="s">
        <v>32</v>
      </c>
      <c r="O607">
        <v>1</v>
      </c>
    </row>
    <row r="608" spans="1:15" x14ac:dyDescent="0.2">
      <c r="A608" t="s">
        <v>641</v>
      </c>
      <c r="B608" s="1">
        <v>46063.458333333336</v>
      </c>
      <c r="C608" t="s">
        <v>11</v>
      </c>
      <c r="D608" t="s">
        <v>12</v>
      </c>
      <c r="E608" t="s">
        <v>13</v>
      </c>
      <c r="F608">
        <v>5</v>
      </c>
      <c r="G608" t="s">
        <v>14</v>
      </c>
      <c r="H608">
        <v>4.8</v>
      </c>
      <c r="I608">
        <v>4.5</v>
      </c>
      <c r="J608">
        <v>9</v>
      </c>
      <c r="K608" t="s">
        <v>15</v>
      </c>
      <c r="L608">
        <v>0</v>
      </c>
      <c r="M608" t="s">
        <v>31</v>
      </c>
      <c r="N608" t="s">
        <v>32</v>
      </c>
      <c r="O608">
        <v>1</v>
      </c>
    </row>
    <row r="609" spans="1:15" x14ac:dyDescent="0.2">
      <c r="A609" t="s">
        <v>642</v>
      </c>
      <c r="B609" s="1">
        <v>45998.833333333336</v>
      </c>
      <c r="C609" t="s">
        <v>11</v>
      </c>
      <c r="D609" t="s">
        <v>17</v>
      </c>
      <c r="E609" t="s">
        <v>13</v>
      </c>
      <c r="F609">
        <v>4</v>
      </c>
      <c r="G609" t="s">
        <v>14</v>
      </c>
      <c r="H609">
        <v>4.2</v>
      </c>
      <c r="I609">
        <v>14.5</v>
      </c>
      <c r="J609">
        <v>12</v>
      </c>
      <c r="K609" t="s">
        <v>15</v>
      </c>
      <c r="L609">
        <v>0</v>
      </c>
      <c r="M609" t="s">
        <v>31</v>
      </c>
      <c r="N609" t="s">
        <v>32</v>
      </c>
      <c r="O609">
        <v>1</v>
      </c>
    </row>
    <row r="610" spans="1:15" x14ac:dyDescent="0.2">
      <c r="A610" t="s">
        <v>643</v>
      </c>
      <c r="B610" s="1">
        <v>46072.375</v>
      </c>
      <c r="C610" t="s">
        <v>11</v>
      </c>
      <c r="D610" t="s">
        <v>12</v>
      </c>
      <c r="E610" t="s">
        <v>25</v>
      </c>
      <c r="F610">
        <v>5</v>
      </c>
      <c r="G610" t="s">
        <v>14</v>
      </c>
      <c r="H610">
        <v>1.8</v>
      </c>
      <c r="I610">
        <v>3</v>
      </c>
      <c r="J610">
        <v>12</v>
      </c>
      <c r="K610" t="s">
        <v>19</v>
      </c>
      <c r="L610">
        <v>1</v>
      </c>
      <c r="M610" t="s">
        <v>31</v>
      </c>
      <c r="N610" t="s">
        <v>35</v>
      </c>
      <c r="O610">
        <v>1</v>
      </c>
    </row>
    <row r="611" spans="1:15" x14ac:dyDescent="0.2">
      <c r="A611" t="s">
        <v>644</v>
      </c>
      <c r="B611" s="1">
        <v>46048.583333333336</v>
      </c>
      <c r="C611" t="s">
        <v>11</v>
      </c>
      <c r="D611" t="s">
        <v>16</v>
      </c>
      <c r="E611" t="s">
        <v>13</v>
      </c>
      <c r="F611">
        <v>5</v>
      </c>
      <c r="G611" t="s">
        <v>14</v>
      </c>
      <c r="H611">
        <v>7.5</v>
      </c>
      <c r="I611">
        <v>10.5</v>
      </c>
      <c r="J611">
        <v>10</v>
      </c>
      <c r="K611" t="s">
        <v>15</v>
      </c>
      <c r="L611">
        <v>0</v>
      </c>
      <c r="M611" t="s">
        <v>31</v>
      </c>
      <c r="N611" t="s">
        <v>32</v>
      </c>
      <c r="O611">
        <v>1</v>
      </c>
    </row>
    <row r="612" spans="1:15" x14ac:dyDescent="0.2">
      <c r="A612" t="s">
        <v>645</v>
      </c>
      <c r="B612" s="1">
        <v>46002.083333333336</v>
      </c>
      <c r="C612" t="s">
        <v>22</v>
      </c>
      <c r="D612" t="s">
        <v>17</v>
      </c>
      <c r="E612" t="s">
        <v>21</v>
      </c>
      <c r="F612">
        <v>5</v>
      </c>
      <c r="G612" t="s">
        <v>14</v>
      </c>
      <c r="H612">
        <v>5.9</v>
      </c>
      <c r="I612">
        <v>20.7</v>
      </c>
      <c r="J612">
        <v>10</v>
      </c>
      <c r="K612" t="s">
        <v>15</v>
      </c>
      <c r="L612">
        <v>0</v>
      </c>
      <c r="M612" t="s">
        <v>31</v>
      </c>
      <c r="N612" t="s">
        <v>32</v>
      </c>
      <c r="O612">
        <v>1</v>
      </c>
    </row>
    <row r="613" spans="1:15" x14ac:dyDescent="0.2">
      <c r="A613" t="s">
        <v>646</v>
      </c>
      <c r="B613" s="1">
        <v>46031.166666666664</v>
      </c>
      <c r="C613" t="s">
        <v>11</v>
      </c>
      <c r="D613" t="s">
        <v>16</v>
      </c>
      <c r="E613" t="s">
        <v>13</v>
      </c>
      <c r="F613">
        <v>3</v>
      </c>
      <c r="G613" t="s">
        <v>26</v>
      </c>
      <c r="H613">
        <v>2.8</v>
      </c>
      <c r="I613">
        <v>18.899999999999999</v>
      </c>
      <c r="J613">
        <v>9</v>
      </c>
      <c r="K613" t="s">
        <v>19</v>
      </c>
      <c r="L613">
        <v>1</v>
      </c>
      <c r="M613" t="s">
        <v>31</v>
      </c>
      <c r="N613" t="s">
        <v>35</v>
      </c>
      <c r="O613">
        <v>1</v>
      </c>
    </row>
    <row r="614" spans="1:15" x14ac:dyDescent="0.2">
      <c r="A614" t="s">
        <v>647</v>
      </c>
      <c r="B614" s="1">
        <v>46071.583333333336</v>
      </c>
      <c r="C614" t="s">
        <v>11</v>
      </c>
      <c r="D614" t="s">
        <v>16</v>
      </c>
      <c r="E614" t="s">
        <v>13</v>
      </c>
      <c r="F614">
        <v>4</v>
      </c>
      <c r="G614" t="s">
        <v>14</v>
      </c>
      <c r="H614">
        <v>6.7</v>
      </c>
      <c r="I614">
        <v>12.6</v>
      </c>
      <c r="J614">
        <v>10</v>
      </c>
      <c r="K614" t="s">
        <v>15</v>
      </c>
      <c r="L614">
        <v>0</v>
      </c>
      <c r="M614" t="s">
        <v>31</v>
      </c>
      <c r="N614" t="s">
        <v>32</v>
      </c>
      <c r="O614">
        <v>1</v>
      </c>
    </row>
    <row r="615" spans="1:15" x14ac:dyDescent="0.2">
      <c r="A615" t="s">
        <v>648</v>
      </c>
      <c r="B615" s="1">
        <v>45995.291666666664</v>
      </c>
      <c r="C615" t="s">
        <v>20</v>
      </c>
      <c r="D615" t="s">
        <v>12</v>
      </c>
      <c r="E615" t="s">
        <v>25</v>
      </c>
      <c r="F615">
        <v>5</v>
      </c>
      <c r="G615" t="s">
        <v>14</v>
      </c>
      <c r="H615">
        <v>3</v>
      </c>
      <c r="I615">
        <v>4.7</v>
      </c>
      <c r="J615">
        <v>11</v>
      </c>
      <c r="K615" t="s">
        <v>19</v>
      </c>
      <c r="L615">
        <v>1</v>
      </c>
      <c r="M615" t="s">
        <v>31</v>
      </c>
      <c r="N615" t="s">
        <v>35</v>
      </c>
      <c r="O615">
        <v>1</v>
      </c>
    </row>
    <row r="616" spans="1:15" x14ac:dyDescent="0.2">
      <c r="A616" t="s">
        <v>649</v>
      </c>
      <c r="B616" s="1">
        <v>46033.583333333336</v>
      </c>
      <c r="C616" t="s">
        <v>11</v>
      </c>
      <c r="D616" t="s">
        <v>12</v>
      </c>
      <c r="E616" t="s">
        <v>23</v>
      </c>
      <c r="F616">
        <v>4</v>
      </c>
      <c r="G616" t="s">
        <v>14</v>
      </c>
      <c r="H616">
        <v>2.2000000000000002</v>
      </c>
      <c r="I616">
        <v>17.7</v>
      </c>
      <c r="J616">
        <v>10</v>
      </c>
      <c r="K616" t="s">
        <v>19</v>
      </c>
      <c r="L616">
        <v>1</v>
      </c>
      <c r="M616" t="s">
        <v>31</v>
      </c>
      <c r="N616" t="s">
        <v>35</v>
      </c>
      <c r="O616">
        <v>1</v>
      </c>
    </row>
    <row r="617" spans="1:15" x14ac:dyDescent="0.2">
      <c r="A617" t="s">
        <v>650</v>
      </c>
      <c r="B617" s="1">
        <v>46001.083333333336</v>
      </c>
      <c r="C617" t="s">
        <v>11</v>
      </c>
      <c r="D617" t="s">
        <v>16</v>
      </c>
      <c r="E617" t="s">
        <v>13</v>
      </c>
      <c r="F617">
        <v>2</v>
      </c>
      <c r="G617" t="s">
        <v>24</v>
      </c>
      <c r="H617">
        <v>2.2999999999999998</v>
      </c>
      <c r="I617">
        <v>12.7</v>
      </c>
      <c r="J617">
        <v>11</v>
      </c>
      <c r="K617" t="s">
        <v>19</v>
      </c>
      <c r="L617">
        <v>1</v>
      </c>
      <c r="M617" t="s">
        <v>31</v>
      </c>
      <c r="N617" t="s">
        <v>35</v>
      </c>
      <c r="O617">
        <v>1</v>
      </c>
    </row>
    <row r="618" spans="1:15" x14ac:dyDescent="0.2">
      <c r="A618" t="s">
        <v>651</v>
      </c>
      <c r="B618" s="1">
        <v>46019.291666666664</v>
      </c>
      <c r="C618" t="s">
        <v>22</v>
      </c>
      <c r="D618" t="s">
        <v>17</v>
      </c>
      <c r="E618" t="s">
        <v>23</v>
      </c>
      <c r="F618">
        <v>5</v>
      </c>
      <c r="G618" t="s">
        <v>14</v>
      </c>
      <c r="H618">
        <v>0.1</v>
      </c>
      <c r="I618">
        <v>1</v>
      </c>
      <c r="J618">
        <v>11</v>
      </c>
      <c r="K618" t="s">
        <v>19</v>
      </c>
      <c r="L618">
        <v>1</v>
      </c>
      <c r="M618" t="s">
        <v>31</v>
      </c>
      <c r="N618" t="s">
        <v>41</v>
      </c>
      <c r="O618">
        <v>1</v>
      </c>
    </row>
    <row r="619" spans="1:15" x14ac:dyDescent="0.2">
      <c r="A619" t="s">
        <v>652</v>
      </c>
      <c r="B619" s="1">
        <v>46077.208333333336</v>
      </c>
      <c r="C619" t="s">
        <v>11</v>
      </c>
      <c r="D619" t="s">
        <v>16</v>
      </c>
      <c r="E619" t="s">
        <v>13</v>
      </c>
      <c r="F619">
        <v>5</v>
      </c>
      <c r="G619" t="s">
        <v>14</v>
      </c>
      <c r="H619">
        <v>5.4</v>
      </c>
      <c r="I619">
        <v>18.8</v>
      </c>
      <c r="J619">
        <v>10</v>
      </c>
      <c r="K619" t="s">
        <v>15</v>
      </c>
      <c r="L619">
        <v>0</v>
      </c>
      <c r="M619" t="s">
        <v>31</v>
      </c>
      <c r="N619" t="s">
        <v>32</v>
      </c>
      <c r="O619">
        <v>1</v>
      </c>
    </row>
    <row r="620" spans="1:15" x14ac:dyDescent="0.2">
      <c r="A620" t="s">
        <v>653</v>
      </c>
      <c r="B620" s="1">
        <v>46073.708333333336</v>
      </c>
      <c r="C620" t="s">
        <v>11</v>
      </c>
      <c r="D620" t="s">
        <v>16</v>
      </c>
      <c r="E620" t="s">
        <v>21</v>
      </c>
      <c r="F620">
        <v>5</v>
      </c>
      <c r="G620" t="s">
        <v>14</v>
      </c>
      <c r="H620">
        <v>0.1</v>
      </c>
      <c r="I620">
        <v>12.3</v>
      </c>
      <c r="J620">
        <v>11</v>
      </c>
      <c r="K620" t="s">
        <v>19</v>
      </c>
      <c r="L620">
        <v>1</v>
      </c>
      <c r="M620" t="s">
        <v>31</v>
      </c>
      <c r="N620" t="s">
        <v>41</v>
      </c>
      <c r="O620">
        <v>1</v>
      </c>
    </row>
    <row r="621" spans="1:15" x14ac:dyDescent="0.2">
      <c r="A621" t="s">
        <v>654</v>
      </c>
      <c r="B621" s="1">
        <v>46001.125</v>
      </c>
      <c r="C621" t="s">
        <v>11</v>
      </c>
      <c r="D621" t="s">
        <v>16</v>
      </c>
      <c r="E621" t="s">
        <v>23</v>
      </c>
      <c r="F621">
        <v>3</v>
      </c>
      <c r="G621" t="s">
        <v>26</v>
      </c>
      <c r="H621">
        <v>1.1000000000000001</v>
      </c>
      <c r="I621">
        <v>22.1</v>
      </c>
      <c r="J621">
        <v>10</v>
      </c>
      <c r="K621" t="s">
        <v>19</v>
      </c>
      <c r="L621">
        <v>1</v>
      </c>
      <c r="M621" t="s">
        <v>31</v>
      </c>
      <c r="N621" t="s">
        <v>35</v>
      </c>
      <c r="O621">
        <v>1</v>
      </c>
    </row>
    <row r="622" spans="1:15" x14ac:dyDescent="0.2">
      <c r="A622" t="s">
        <v>655</v>
      </c>
      <c r="B622" s="1">
        <v>46045.708333333336</v>
      </c>
      <c r="C622" t="s">
        <v>20</v>
      </c>
      <c r="D622" t="s">
        <v>16</v>
      </c>
      <c r="E622" t="s">
        <v>21</v>
      </c>
      <c r="F622">
        <v>5</v>
      </c>
      <c r="G622" t="s">
        <v>14</v>
      </c>
      <c r="H622">
        <v>0.1</v>
      </c>
      <c r="I622">
        <v>3.7</v>
      </c>
      <c r="J622">
        <v>10</v>
      </c>
      <c r="K622" t="s">
        <v>19</v>
      </c>
      <c r="L622">
        <v>1</v>
      </c>
      <c r="M622" t="s">
        <v>31</v>
      </c>
      <c r="N622" t="s">
        <v>41</v>
      </c>
      <c r="O622">
        <v>1</v>
      </c>
    </row>
    <row r="623" spans="1:15" x14ac:dyDescent="0.2">
      <c r="A623" t="s">
        <v>656</v>
      </c>
      <c r="B623" s="1">
        <v>46070.458333333336</v>
      </c>
      <c r="C623" t="s">
        <v>11</v>
      </c>
      <c r="D623" t="s">
        <v>12</v>
      </c>
      <c r="E623" t="s">
        <v>21</v>
      </c>
      <c r="F623">
        <v>3</v>
      </c>
      <c r="G623" t="s">
        <v>26</v>
      </c>
      <c r="H623">
        <v>4</v>
      </c>
      <c r="I623">
        <v>1</v>
      </c>
      <c r="J623">
        <v>12</v>
      </c>
      <c r="K623" t="s">
        <v>15</v>
      </c>
      <c r="L623">
        <v>0</v>
      </c>
      <c r="M623" t="s">
        <v>31</v>
      </c>
      <c r="N623" t="s">
        <v>35</v>
      </c>
      <c r="O623">
        <v>1</v>
      </c>
    </row>
    <row r="624" spans="1:15" x14ac:dyDescent="0.2">
      <c r="A624" t="s">
        <v>657</v>
      </c>
      <c r="B624" s="1">
        <v>46069.166666666664</v>
      </c>
      <c r="C624" t="s">
        <v>11</v>
      </c>
      <c r="D624" t="s">
        <v>16</v>
      </c>
      <c r="E624" t="s">
        <v>23</v>
      </c>
      <c r="F624">
        <v>3</v>
      </c>
      <c r="G624" t="s">
        <v>26</v>
      </c>
      <c r="H624">
        <v>3.8</v>
      </c>
      <c r="I624">
        <v>14.7</v>
      </c>
      <c r="J624">
        <v>11</v>
      </c>
      <c r="K624" t="s">
        <v>19</v>
      </c>
      <c r="L624">
        <v>1</v>
      </c>
      <c r="M624" t="s">
        <v>31</v>
      </c>
      <c r="N624" t="s">
        <v>35</v>
      </c>
      <c r="O624">
        <v>1</v>
      </c>
    </row>
    <row r="625" spans="1:15" x14ac:dyDescent="0.2">
      <c r="A625" t="s">
        <v>658</v>
      </c>
      <c r="B625" s="1">
        <v>46069.416666666664</v>
      </c>
      <c r="C625" t="s">
        <v>11</v>
      </c>
      <c r="D625" t="s">
        <v>17</v>
      </c>
      <c r="E625" t="s">
        <v>18</v>
      </c>
      <c r="F625">
        <v>5</v>
      </c>
      <c r="G625" t="s">
        <v>14</v>
      </c>
      <c r="H625">
        <v>3.4</v>
      </c>
      <c r="I625">
        <v>14.8</v>
      </c>
      <c r="J625">
        <v>11</v>
      </c>
      <c r="K625" t="s">
        <v>19</v>
      </c>
      <c r="L625">
        <v>1</v>
      </c>
      <c r="M625" t="s">
        <v>31</v>
      </c>
      <c r="N625" t="s">
        <v>35</v>
      </c>
      <c r="O625">
        <v>1</v>
      </c>
    </row>
    <row r="626" spans="1:15" x14ac:dyDescent="0.2">
      <c r="A626" t="s">
        <v>659</v>
      </c>
      <c r="B626" s="1">
        <v>46060.083333333336</v>
      </c>
      <c r="C626" t="s">
        <v>11</v>
      </c>
      <c r="D626" t="s">
        <v>12</v>
      </c>
      <c r="E626" t="s">
        <v>23</v>
      </c>
      <c r="F626">
        <v>3</v>
      </c>
      <c r="G626" t="s">
        <v>26</v>
      </c>
      <c r="H626">
        <v>1.6</v>
      </c>
      <c r="I626">
        <v>1</v>
      </c>
      <c r="J626">
        <v>9</v>
      </c>
      <c r="K626" t="s">
        <v>19</v>
      </c>
      <c r="L626">
        <v>1</v>
      </c>
      <c r="M626" t="s">
        <v>31</v>
      </c>
      <c r="N626" t="s">
        <v>35</v>
      </c>
      <c r="O626">
        <v>1</v>
      </c>
    </row>
    <row r="627" spans="1:15" x14ac:dyDescent="0.2">
      <c r="A627" t="s">
        <v>660</v>
      </c>
      <c r="B627" s="1">
        <v>46044</v>
      </c>
      <c r="C627" t="s">
        <v>11</v>
      </c>
      <c r="D627" t="s">
        <v>16</v>
      </c>
      <c r="E627" t="s">
        <v>18</v>
      </c>
      <c r="F627">
        <v>4</v>
      </c>
      <c r="G627" t="s">
        <v>14</v>
      </c>
      <c r="H627">
        <v>1.3</v>
      </c>
      <c r="I627">
        <v>4.7</v>
      </c>
      <c r="J627">
        <v>10</v>
      </c>
      <c r="K627" t="s">
        <v>19</v>
      </c>
      <c r="L627">
        <v>1</v>
      </c>
      <c r="M627" t="s">
        <v>31</v>
      </c>
      <c r="N627" t="s">
        <v>35</v>
      </c>
      <c r="O627">
        <v>1</v>
      </c>
    </row>
    <row r="628" spans="1:15" x14ac:dyDescent="0.2">
      <c r="A628" t="s">
        <v>661</v>
      </c>
      <c r="B628" s="1">
        <v>46076.583333333336</v>
      </c>
      <c r="C628" t="s">
        <v>11</v>
      </c>
      <c r="D628" t="s">
        <v>12</v>
      </c>
      <c r="E628" t="s">
        <v>13</v>
      </c>
      <c r="F628">
        <v>1</v>
      </c>
      <c r="G628" t="s">
        <v>24</v>
      </c>
      <c r="H628">
        <v>5.4</v>
      </c>
      <c r="I628">
        <v>34.5</v>
      </c>
      <c r="J628">
        <v>12</v>
      </c>
      <c r="K628" t="s">
        <v>15</v>
      </c>
      <c r="L628">
        <v>0</v>
      </c>
      <c r="M628" t="s">
        <v>55</v>
      </c>
      <c r="N628" t="s">
        <v>32</v>
      </c>
      <c r="O628">
        <v>1</v>
      </c>
    </row>
    <row r="629" spans="1:15" x14ac:dyDescent="0.2">
      <c r="A629" t="s">
        <v>662</v>
      </c>
      <c r="B629" s="1">
        <v>46074.625</v>
      </c>
      <c r="C629" t="s">
        <v>11</v>
      </c>
      <c r="D629" t="s">
        <v>16</v>
      </c>
      <c r="E629" t="s">
        <v>25</v>
      </c>
      <c r="F629">
        <v>5</v>
      </c>
      <c r="G629" t="s">
        <v>14</v>
      </c>
      <c r="H629">
        <v>2.8</v>
      </c>
      <c r="I629">
        <v>10.1</v>
      </c>
      <c r="J629">
        <v>12</v>
      </c>
      <c r="K629" t="s">
        <v>19</v>
      </c>
      <c r="L629">
        <v>1</v>
      </c>
      <c r="M629" t="s">
        <v>31</v>
      </c>
      <c r="N629" t="s">
        <v>35</v>
      </c>
      <c r="O629">
        <v>1</v>
      </c>
    </row>
    <row r="630" spans="1:15" x14ac:dyDescent="0.2">
      <c r="A630" t="s">
        <v>663</v>
      </c>
      <c r="B630" s="1">
        <v>46036.541666666664</v>
      </c>
      <c r="C630" t="s">
        <v>22</v>
      </c>
      <c r="D630" t="s">
        <v>12</v>
      </c>
      <c r="E630" t="s">
        <v>23</v>
      </c>
      <c r="F630">
        <v>5</v>
      </c>
      <c r="G630" t="s">
        <v>14</v>
      </c>
      <c r="H630">
        <v>5</v>
      </c>
      <c r="I630">
        <v>18.3</v>
      </c>
      <c r="J630">
        <v>9</v>
      </c>
      <c r="K630" t="s">
        <v>15</v>
      </c>
      <c r="L630">
        <v>0</v>
      </c>
      <c r="M630" t="s">
        <v>31</v>
      </c>
      <c r="N630" t="s">
        <v>32</v>
      </c>
      <c r="O630">
        <v>1</v>
      </c>
    </row>
    <row r="631" spans="1:15" x14ac:dyDescent="0.2">
      <c r="A631" t="s">
        <v>664</v>
      </c>
      <c r="B631" s="1">
        <v>46026.833333333336</v>
      </c>
      <c r="C631" t="s">
        <v>11</v>
      </c>
      <c r="D631" t="s">
        <v>16</v>
      </c>
      <c r="E631" t="s">
        <v>23</v>
      </c>
      <c r="F631">
        <v>5</v>
      </c>
      <c r="G631" t="s">
        <v>14</v>
      </c>
      <c r="H631">
        <v>2</v>
      </c>
      <c r="I631">
        <v>7.3</v>
      </c>
      <c r="J631">
        <v>11</v>
      </c>
      <c r="K631" t="s">
        <v>19</v>
      </c>
      <c r="L631">
        <v>1</v>
      </c>
      <c r="M631" t="s">
        <v>31</v>
      </c>
      <c r="N631" t="s">
        <v>35</v>
      </c>
      <c r="O631">
        <v>1</v>
      </c>
    </row>
    <row r="632" spans="1:15" x14ac:dyDescent="0.2">
      <c r="A632" t="s">
        <v>665</v>
      </c>
      <c r="B632" s="1">
        <v>46050.333333333336</v>
      </c>
      <c r="C632" t="s">
        <v>11</v>
      </c>
      <c r="D632" t="s">
        <v>17</v>
      </c>
      <c r="E632" t="s">
        <v>25</v>
      </c>
      <c r="F632">
        <v>5</v>
      </c>
      <c r="G632" t="s">
        <v>14</v>
      </c>
      <c r="H632">
        <v>4.7</v>
      </c>
      <c r="I632">
        <v>1</v>
      </c>
      <c r="J632">
        <v>12</v>
      </c>
      <c r="K632" t="s">
        <v>15</v>
      </c>
      <c r="L632">
        <v>0</v>
      </c>
      <c r="M632" t="s">
        <v>31</v>
      </c>
      <c r="N632" t="s">
        <v>32</v>
      </c>
      <c r="O632">
        <v>1</v>
      </c>
    </row>
    <row r="633" spans="1:15" x14ac:dyDescent="0.2">
      <c r="A633" t="s">
        <v>666</v>
      </c>
      <c r="B633" s="1">
        <v>46029.25</v>
      </c>
      <c r="C633" t="s">
        <v>11</v>
      </c>
      <c r="D633" t="s">
        <v>12</v>
      </c>
      <c r="E633" t="s">
        <v>25</v>
      </c>
      <c r="F633">
        <v>3</v>
      </c>
      <c r="G633" t="s">
        <v>26</v>
      </c>
      <c r="H633">
        <v>7.5</v>
      </c>
      <c r="I633">
        <v>11.1</v>
      </c>
      <c r="J633">
        <v>11</v>
      </c>
      <c r="K633" t="s">
        <v>15</v>
      </c>
      <c r="L633">
        <v>0</v>
      </c>
      <c r="M633" t="s">
        <v>31</v>
      </c>
      <c r="N633" t="s">
        <v>32</v>
      </c>
      <c r="O633">
        <v>1</v>
      </c>
    </row>
    <row r="634" spans="1:15" x14ac:dyDescent="0.2">
      <c r="A634" t="s">
        <v>667</v>
      </c>
      <c r="B634" s="1">
        <v>45994.791666666664</v>
      </c>
      <c r="C634" t="s">
        <v>11</v>
      </c>
      <c r="D634" t="s">
        <v>16</v>
      </c>
      <c r="E634" t="s">
        <v>13</v>
      </c>
      <c r="F634">
        <v>4</v>
      </c>
      <c r="G634" t="s">
        <v>14</v>
      </c>
      <c r="H634">
        <v>5.7</v>
      </c>
      <c r="I634">
        <v>10.4</v>
      </c>
      <c r="J634">
        <v>12</v>
      </c>
      <c r="K634" t="s">
        <v>15</v>
      </c>
      <c r="L634">
        <v>0</v>
      </c>
      <c r="M634" t="s">
        <v>31</v>
      </c>
      <c r="N634" t="s">
        <v>32</v>
      </c>
      <c r="O634">
        <v>1</v>
      </c>
    </row>
    <row r="635" spans="1:15" x14ac:dyDescent="0.2">
      <c r="A635" t="s">
        <v>668</v>
      </c>
      <c r="B635" s="1">
        <v>46060.791666666664</v>
      </c>
      <c r="C635" t="s">
        <v>11</v>
      </c>
      <c r="D635" t="s">
        <v>17</v>
      </c>
      <c r="E635" t="s">
        <v>13</v>
      </c>
      <c r="F635">
        <v>4</v>
      </c>
      <c r="G635" t="s">
        <v>14</v>
      </c>
      <c r="H635">
        <v>3.2</v>
      </c>
      <c r="I635">
        <v>9.3000000000000007</v>
      </c>
      <c r="J635">
        <v>12</v>
      </c>
      <c r="K635" t="s">
        <v>19</v>
      </c>
      <c r="L635">
        <v>1</v>
      </c>
      <c r="M635" t="s">
        <v>31</v>
      </c>
      <c r="N635" t="s">
        <v>35</v>
      </c>
      <c r="O635">
        <v>1</v>
      </c>
    </row>
    <row r="636" spans="1:15" x14ac:dyDescent="0.2">
      <c r="A636" t="s">
        <v>669</v>
      </c>
      <c r="B636" s="1">
        <v>46071.208333333336</v>
      </c>
      <c r="C636" t="s">
        <v>20</v>
      </c>
      <c r="D636" t="s">
        <v>17</v>
      </c>
      <c r="E636" t="s">
        <v>25</v>
      </c>
      <c r="F636">
        <v>2</v>
      </c>
      <c r="G636" t="s">
        <v>24</v>
      </c>
      <c r="H636">
        <v>4.8</v>
      </c>
      <c r="I636">
        <v>11.6</v>
      </c>
      <c r="J636">
        <v>10</v>
      </c>
      <c r="K636" t="s">
        <v>15</v>
      </c>
      <c r="L636">
        <v>0</v>
      </c>
      <c r="M636" t="s">
        <v>31</v>
      </c>
      <c r="N636" t="s">
        <v>32</v>
      </c>
      <c r="O636">
        <v>1</v>
      </c>
    </row>
    <row r="637" spans="1:15" x14ac:dyDescent="0.2">
      <c r="A637" t="s">
        <v>670</v>
      </c>
      <c r="B637" s="1">
        <v>46033.208333333336</v>
      </c>
      <c r="C637" t="s">
        <v>11</v>
      </c>
      <c r="D637" t="s">
        <v>12</v>
      </c>
      <c r="E637" t="s">
        <v>25</v>
      </c>
      <c r="F637">
        <v>4</v>
      </c>
      <c r="G637" t="s">
        <v>14</v>
      </c>
      <c r="H637">
        <v>3.6</v>
      </c>
      <c r="I637">
        <v>14.6</v>
      </c>
      <c r="J637">
        <v>11</v>
      </c>
      <c r="K637" t="s">
        <v>19</v>
      </c>
      <c r="L637">
        <v>1</v>
      </c>
      <c r="M637" t="s">
        <v>31</v>
      </c>
      <c r="N637" t="s">
        <v>35</v>
      </c>
      <c r="O637">
        <v>1</v>
      </c>
    </row>
    <row r="638" spans="1:15" x14ac:dyDescent="0.2">
      <c r="A638" t="s">
        <v>671</v>
      </c>
      <c r="B638" s="1">
        <v>45994.708333333336</v>
      </c>
      <c r="C638" t="s">
        <v>11</v>
      </c>
      <c r="D638" t="s">
        <v>12</v>
      </c>
      <c r="E638" t="s">
        <v>18</v>
      </c>
      <c r="F638">
        <v>5</v>
      </c>
      <c r="G638" t="s">
        <v>14</v>
      </c>
      <c r="H638">
        <v>4.2</v>
      </c>
      <c r="I638">
        <v>11.3</v>
      </c>
      <c r="J638">
        <v>12</v>
      </c>
      <c r="K638" t="s">
        <v>15</v>
      </c>
      <c r="L638">
        <v>0</v>
      </c>
      <c r="M638" t="s">
        <v>31</v>
      </c>
      <c r="N638" t="s">
        <v>32</v>
      </c>
      <c r="O638">
        <v>1</v>
      </c>
    </row>
    <row r="639" spans="1:15" x14ac:dyDescent="0.2">
      <c r="A639" t="s">
        <v>672</v>
      </c>
      <c r="B639" s="1">
        <v>46018.25</v>
      </c>
      <c r="C639" t="s">
        <v>11</v>
      </c>
      <c r="D639" t="s">
        <v>12</v>
      </c>
      <c r="E639" t="s">
        <v>21</v>
      </c>
      <c r="F639">
        <v>2</v>
      </c>
      <c r="G639" t="s">
        <v>24</v>
      </c>
      <c r="H639">
        <v>3.4</v>
      </c>
      <c r="I639">
        <v>2.4</v>
      </c>
      <c r="J639">
        <v>10</v>
      </c>
      <c r="K639" t="s">
        <v>19</v>
      </c>
      <c r="L639">
        <v>1</v>
      </c>
      <c r="M639" t="s">
        <v>31</v>
      </c>
      <c r="N639" t="s">
        <v>35</v>
      </c>
      <c r="O639">
        <v>1</v>
      </c>
    </row>
    <row r="640" spans="1:15" x14ac:dyDescent="0.2">
      <c r="A640" t="s">
        <v>673</v>
      </c>
      <c r="B640" s="1">
        <v>46063.708333333336</v>
      </c>
      <c r="C640" t="s">
        <v>11</v>
      </c>
      <c r="D640" t="s">
        <v>17</v>
      </c>
      <c r="E640" t="s">
        <v>18</v>
      </c>
      <c r="F640">
        <v>4</v>
      </c>
      <c r="G640" t="s">
        <v>14</v>
      </c>
      <c r="H640">
        <v>3.8</v>
      </c>
      <c r="I640">
        <v>16.399999999999999</v>
      </c>
      <c r="J640">
        <v>12</v>
      </c>
      <c r="K640" t="s">
        <v>19</v>
      </c>
      <c r="L640">
        <v>1</v>
      </c>
      <c r="M640" t="s">
        <v>31</v>
      </c>
      <c r="N640" t="s">
        <v>35</v>
      </c>
      <c r="O640">
        <v>1</v>
      </c>
    </row>
    <row r="641" spans="1:15" x14ac:dyDescent="0.2">
      <c r="A641" t="s">
        <v>674</v>
      </c>
      <c r="B641" s="1">
        <v>46022.166666666664</v>
      </c>
      <c r="C641" t="s">
        <v>11</v>
      </c>
      <c r="D641" t="s">
        <v>17</v>
      </c>
      <c r="E641" t="s">
        <v>25</v>
      </c>
      <c r="F641">
        <v>3</v>
      </c>
      <c r="G641" t="s">
        <v>26</v>
      </c>
      <c r="H641">
        <v>4.7</v>
      </c>
      <c r="I641">
        <v>1</v>
      </c>
      <c r="J641">
        <v>10</v>
      </c>
      <c r="K641" t="s">
        <v>15</v>
      </c>
      <c r="L641">
        <v>0</v>
      </c>
      <c r="M641" t="s">
        <v>31</v>
      </c>
      <c r="N641" t="s">
        <v>32</v>
      </c>
      <c r="O641">
        <v>1</v>
      </c>
    </row>
    <row r="642" spans="1:15" x14ac:dyDescent="0.2">
      <c r="A642" t="s">
        <v>675</v>
      </c>
      <c r="B642" s="1">
        <v>46049.416666666664</v>
      </c>
      <c r="C642" t="s">
        <v>22</v>
      </c>
      <c r="D642" t="s">
        <v>16</v>
      </c>
      <c r="E642" t="s">
        <v>13</v>
      </c>
      <c r="F642">
        <v>3</v>
      </c>
      <c r="G642" t="s">
        <v>26</v>
      </c>
      <c r="H642">
        <v>1.7</v>
      </c>
      <c r="I642">
        <v>1</v>
      </c>
      <c r="J642">
        <v>10</v>
      </c>
      <c r="K642" t="s">
        <v>19</v>
      </c>
      <c r="L642">
        <v>1</v>
      </c>
      <c r="M642" t="s">
        <v>31</v>
      </c>
      <c r="N642" t="s">
        <v>35</v>
      </c>
      <c r="O642">
        <v>1</v>
      </c>
    </row>
    <row r="643" spans="1:15" x14ac:dyDescent="0.2">
      <c r="A643" t="s">
        <v>676</v>
      </c>
      <c r="B643" s="1">
        <v>46049.125</v>
      </c>
      <c r="C643" t="s">
        <v>11</v>
      </c>
      <c r="D643" t="s">
        <v>17</v>
      </c>
      <c r="E643" t="s">
        <v>13</v>
      </c>
      <c r="F643">
        <v>5</v>
      </c>
      <c r="G643" t="s">
        <v>14</v>
      </c>
      <c r="H643">
        <v>1.7</v>
      </c>
      <c r="I643">
        <v>18.399999999999999</v>
      </c>
      <c r="J643">
        <v>11</v>
      </c>
      <c r="K643" t="s">
        <v>19</v>
      </c>
      <c r="L643">
        <v>1</v>
      </c>
      <c r="M643" t="s">
        <v>31</v>
      </c>
      <c r="N643" t="s">
        <v>35</v>
      </c>
      <c r="O643">
        <v>1</v>
      </c>
    </row>
    <row r="644" spans="1:15" x14ac:dyDescent="0.2">
      <c r="A644" t="s">
        <v>677</v>
      </c>
      <c r="B644" s="1">
        <v>46080.416666666664</v>
      </c>
      <c r="C644" t="s">
        <v>11</v>
      </c>
      <c r="D644" t="s">
        <v>16</v>
      </c>
      <c r="E644" t="s">
        <v>21</v>
      </c>
      <c r="F644">
        <v>4</v>
      </c>
      <c r="G644" t="s">
        <v>14</v>
      </c>
      <c r="H644">
        <v>0.7</v>
      </c>
      <c r="I644">
        <v>16.600000000000001</v>
      </c>
      <c r="J644">
        <v>10</v>
      </c>
      <c r="K644" t="s">
        <v>19</v>
      </c>
      <c r="L644">
        <v>1</v>
      </c>
      <c r="M644" t="s">
        <v>31</v>
      </c>
      <c r="N644" t="s">
        <v>41</v>
      </c>
      <c r="O644">
        <v>1</v>
      </c>
    </row>
    <row r="645" spans="1:15" x14ac:dyDescent="0.2">
      <c r="A645" t="s">
        <v>678</v>
      </c>
      <c r="B645" s="1">
        <v>46045.125</v>
      </c>
      <c r="C645" t="s">
        <v>11</v>
      </c>
      <c r="D645" t="s">
        <v>16</v>
      </c>
      <c r="E645" t="s">
        <v>25</v>
      </c>
      <c r="F645">
        <v>4</v>
      </c>
      <c r="G645" t="s">
        <v>14</v>
      </c>
      <c r="H645">
        <v>0.2</v>
      </c>
      <c r="I645">
        <v>12</v>
      </c>
      <c r="J645">
        <v>12</v>
      </c>
      <c r="K645" t="s">
        <v>19</v>
      </c>
      <c r="L645">
        <v>1</v>
      </c>
      <c r="M645" t="s">
        <v>31</v>
      </c>
      <c r="N645" t="s">
        <v>41</v>
      </c>
      <c r="O645">
        <v>1</v>
      </c>
    </row>
    <row r="646" spans="1:15" x14ac:dyDescent="0.2">
      <c r="A646" t="s">
        <v>679</v>
      </c>
      <c r="B646" s="1">
        <v>46012.791666666664</v>
      </c>
      <c r="C646" t="s">
        <v>20</v>
      </c>
      <c r="D646" t="s">
        <v>12</v>
      </c>
      <c r="E646" t="s">
        <v>13</v>
      </c>
      <c r="F646">
        <v>5</v>
      </c>
      <c r="G646" t="s">
        <v>14</v>
      </c>
      <c r="H646">
        <v>1.2</v>
      </c>
      <c r="I646">
        <v>1.3</v>
      </c>
      <c r="J646">
        <v>9</v>
      </c>
      <c r="K646" t="s">
        <v>19</v>
      </c>
      <c r="L646">
        <v>1</v>
      </c>
      <c r="M646" t="s">
        <v>31</v>
      </c>
      <c r="N646" t="s">
        <v>35</v>
      </c>
      <c r="O646">
        <v>1</v>
      </c>
    </row>
    <row r="647" spans="1:15" x14ac:dyDescent="0.2">
      <c r="A647" t="s">
        <v>680</v>
      </c>
      <c r="B647" s="1">
        <v>46072.416666666664</v>
      </c>
      <c r="C647" t="s">
        <v>11</v>
      </c>
      <c r="D647" t="s">
        <v>17</v>
      </c>
      <c r="E647" t="s">
        <v>23</v>
      </c>
      <c r="F647">
        <v>3</v>
      </c>
      <c r="G647" t="s">
        <v>26</v>
      </c>
      <c r="H647">
        <v>4.5999999999999996</v>
      </c>
      <c r="I647">
        <v>6.8</v>
      </c>
      <c r="J647">
        <v>12</v>
      </c>
      <c r="K647" t="s">
        <v>15</v>
      </c>
      <c r="L647">
        <v>0</v>
      </c>
      <c r="M647" t="s">
        <v>31</v>
      </c>
      <c r="N647" t="s">
        <v>32</v>
      </c>
      <c r="O647">
        <v>1</v>
      </c>
    </row>
    <row r="648" spans="1:15" x14ac:dyDescent="0.2">
      <c r="A648" t="s">
        <v>681</v>
      </c>
      <c r="B648" s="1">
        <v>46037.25</v>
      </c>
      <c r="C648" t="s">
        <v>11</v>
      </c>
      <c r="D648" t="s">
        <v>12</v>
      </c>
      <c r="E648" t="s">
        <v>18</v>
      </c>
      <c r="F648">
        <v>4</v>
      </c>
      <c r="G648" t="s">
        <v>14</v>
      </c>
      <c r="H648">
        <v>2</v>
      </c>
      <c r="I648">
        <v>10.4</v>
      </c>
      <c r="J648">
        <v>12</v>
      </c>
      <c r="K648" t="s">
        <v>19</v>
      </c>
      <c r="L648">
        <v>1</v>
      </c>
      <c r="M648" t="s">
        <v>31</v>
      </c>
      <c r="N648" t="s">
        <v>35</v>
      </c>
      <c r="O648">
        <v>1</v>
      </c>
    </row>
    <row r="649" spans="1:15" x14ac:dyDescent="0.2">
      <c r="A649" t="s">
        <v>682</v>
      </c>
      <c r="B649" s="1">
        <v>46043.166666666664</v>
      </c>
      <c r="C649" t="s">
        <v>11</v>
      </c>
      <c r="D649" t="s">
        <v>17</v>
      </c>
      <c r="E649" t="s">
        <v>23</v>
      </c>
      <c r="F649">
        <v>4</v>
      </c>
      <c r="G649" t="s">
        <v>14</v>
      </c>
      <c r="H649">
        <v>5.5</v>
      </c>
      <c r="I649">
        <v>1</v>
      </c>
      <c r="J649">
        <v>10</v>
      </c>
      <c r="K649" t="s">
        <v>15</v>
      </c>
      <c r="L649">
        <v>0</v>
      </c>
      <c r="M649" t="s">
        <v>31</v>
      </c>
      <c r="N649" t="s">
        <v>32</v>
      </c>
      <c r="O649">
        <v>1</v>
      </c>
    </row>
    <row r="650" spans="1:15" x14ac:dyDescent="0.2">
      <c r="A650" t="s">
        <v>683</v>
      </c>
      <c r="B650" s="1">
        <v>46027.083333333336</v>
      </c>
      <c r="C650" t="s">
        <v>11</v>
      </c>
      <c r="D650" t="s">
        <v>17</v>
      </c>
      <c r="E650" t="s">
        <v>23</v>
      </c>
      <c r="F650">
        <v>5</v>
      </c>
      <c r="G650" t="s">
        <v>14</v>
      </c>
      <c r="H650">
        <v>4.3</v>
      </c>
      <c r="I650">
        <v>6.6</v>
      </c>
      <c r="J650">
        <v>12</v>
      </c>
      <c r="K650" t="s">
        <v>15</v>
      </c>
      <c r="L650">
        <v>0</v>
      </c>
      <c r="M650" t="s">
        <v>31</v>
      </c>
      <c r="N650" t="s">
        <v>32</v>
      </c>
      <c r="O650">
        <v>1</v>
      </c>
    </row>
    <row r="651" spans="1:15" x14ac:dyDescent="0.2">
      <c r="A651" t="s">
        <v>684</v>
      </c>
      <c r="B651" s="1">
        <v>46049.416666666664</v>
      </c>
      <c r="C651" t="s">
        <v>11</v>
      </c>
      <c r="D651" t="s">
        <v>16</v>
      </c>
      <c r="E651" t="s">
        <v>23</v>
      </c>
      <c r="F651">
        <v>5</v>
      </c>
      <c r="G651" t="s">
        <v>14</v>
      </c>
      <c r="H651">
        <v>0.1</v>
      </c>
      <c r="I651">
        <v>17.7</v>
      </c>
      <c r="J651">
        <v>10</v>
      </c>
      <c r="K651" t="s">
        <v>19</v>
      </c>
      <c r="L651">
        <v>1</v>
      </c>
      <c r="M651" t="s">
        <v>31</v>
      </c>
      <c r="N651" t="s">
        <v>41</v>
      </c>
      <c r="O651">
        <v>1</v>
      </c>
    </row>
    <row r="652" spans="1:15" x14ac:dyDescent="0.2">
      <c r="A652" t="s">
        <v>685</v>
      </c>
      <c r="B652" s="1">
        <v>46043.75</v>
      </c>
      <c r="C652" t="s">
        <v>20</v>
      </c>
      <c r="D652" t="s">
        <v>12</v>
      </c>
      <c r="E652" t="s">
        <v>13</v>
      </c>
      <c r="F652">
        <v>5</v>
      </c>
      <c r="G652" t="s">
        <v>14</v>
      </c>
      <c r="H652">
        <v>5.8</v>
      </c>
      <c r="I652">
        <v>23.9</v>
      </c>
      <c r="J652">
        <v>11</v>
      </c>
      <c r="K652" t="s">
        <v>15</v>
      </c>
      <c r="L652">
        <v>0</v>
      </c>
      <c r="M652" t="s">
        <v>31</v>
      </c>
      <c r="N652" t="s">
        <v>32</v>
      </c>
      <c r="O652">
        <v>1</v>
      </c>
    </row>
    <row r="653" spans="1:15" x14ac:dyDescent="0.2">
      <c r="A653" t="s">
        <v>686</v>
      </c>
      <c r="B653" s="1">
        <v>46032.375</v>
      </c>
      <c r="C653" t="s">
        <v>11</v>
      </c>
      <c r="D653" t="s">
        <v>12</v>
      </c>
      <c r="E653" t="s">
        <v>23</v>
      </c>
      <c r="F653">
        <v>4</v>
      </c>
      <c r="G653" t="s">
        <v>14</v>
      </c>
      <c r="H653">
        <v>6.2</v>
      </c>
      <c r="I653">
        <v>9.1</v>
      </c>
      <c r="J653">
        <v>10</v>
      </c>
      <c r="K653" t="s">
        <v>15</v>
      </c>
      <c r="L653">
        <v>0</v>
      </c>
      <c r="M653" t="s">
        <v>31</v>
      </c>
      <c r="N653" t="s">
        <v>32</v>
      </c>
      <c r="O653">
        <v>1</v>
      </c>
    </row>
    <row r="654" spans="1:15" x14ac:dyDescent="0.2">
      <c r="A654" t="s">
        <v>687</v>
      </c>
      <c r="B654" s="1">
        <v>46068.708333333336</v>
      </c>
      <c r="C654" t="s">
        <v>11</v>
      </c>
      <c r="D654" t="s">
        <v>12</v>
      </c>
      <c r="E654" t="s">
        <v>23</v>
      </c>
      <c r="F654">
        <v>5</v>
      </c>
      <c r="G654" t="s">
        <v>14</v>
      </c>
      <c r="H654">
        <v>1.7</v>
      </c>
      <c r="I654">
        <v>18.600000000000001</v>
      </c>
      <c r="J654">
        <v>11</v>
      </c>
      <c r="K654" t="s">
        <v>19</v>
      </c>
      <c r="L654">
        <v>1</v>
      </c>
      <c r="M654" t="s">
        <v>31</v>
      </c>
      <c r="N654" t="s">
        <v>35</v>
      </c>
      <c r="O654">
        <v>1</v>
      </c>
    </row>
    <row r="655" spans="1:15" x14ac:dyDescent="0.2">
      <c r="A655" t="s">
        <v>688</v>
      </c>
      <c r="B655" s="1">
        <v>46033.25</v>
      </c>
      <c r="C655" t="s">
        <v>11</v>
      </c>
      <c r="D655" t="s">
        <v>12</v>
      </c>
      <c r="E655" t="s">
        <v>13</v>
      </c>
      <c r="F655">
        <v>3</v>
      </c>
      <c r="G655" t="s">
        <v>26</v>
      </c>
      <c r="H655">
        <v>5.3</v>
      </c>
      <c r="I655">
        <v>1</v>
      </c>
      <c r="J655">
        <v>9</v>
      </c>
      <c r="K655" t="s">
        <v>15</v>
      </c>
      <c r="L655">
        <v>0</v>
      </c>
      <c r="M655" t="s">
        <v>31</v>
      </c>
      <c r="N655" t="s">
        <v>32</v>
      </c>
      <c r="O655">
        <v>1</v>
      </c>
    </row>
    <row r="656" spans="1:15" x14ac:dyDescent="0.2">
      <c r="A656" t="s">
        <v>689</v>
      </c>
      <c r="B656" s="1">
        <v>46036.25</v>
      </c>
      <c r="C656" t="s">
        <v>11</v>
      </c>
      <c r="D656" t="s">
        <v>12</v>
      </c>
      <c r="E656" t="s">
        <v>21</v>
      </c>
      <c r="F656">
        <v>2</v>
      </c>
      <c r="G656" t="s">
        <v>24</v>
      </c>
      <c r="H656">
        <v>2.1</v>
      </c>
      <c r="I656">
        <v>17.8</v>
      </c>
      <c r="J656">
        <v>12</v>
      </c>
      <c r="K656" t="s">
        <v>19</v>
      </c>
      <c r="L656">
        <v>1</v>
      </c>
      <c r="M656" t="s">
        <v>31</v>
      </c>
      <c r="N656" t="s">
        <v>35</v>
      </c>
      <c r="O656">
        <v>1</v>
      </c>
    </row>
    <row r="657" spans="1:15" x14ac:dyDescent="0.2">
      <c r="A657" t="s">
        <v>690</v>
      </c>
      <c r="B657" s="1">
        <v>46044.083333333336</v>
      </c>
      <c r="C657" t="s">
        <v>20</v>
      </c>
      <c r="D657" t="s">
        <v>17</v>
      </c>
      <c r="E657" t="s">
        <v>23</v>
      </c>
      <c r="F657">
        <v>3</v>
      </c>
      <c r="G657" t="s">
        <v>26</v>
      </c>
      <c r="H657">
        <v>4.4000000000000004</v>
      </c>
      <c r="I657">
        <v>6.1</v>
      </c>
      <c r="J657">
        <v>11</v>
      </c>
      <c r="K657" t="s">
        <v>15</v>
      </c>
      <c r="L657">
        <v>0</v>
      </c>
      <c r="M657" t="s">
        <v>31</v>
      </c>
      <c r="N657" t="s">
        <v>32</v>
      </c>
      <c r="O657">
        <v>1</v>
      </c>
    </row>
    <row r="658" spans="1:15" x14ac:dyDescent="0.2">
      <c r="A658" t="s">
        <v>691</v>
      </c>
      <c r="B658" s="1">
        <v>46045</v>
      </c>
      <c r="C658" t="s">
        <v>11</v>
      </c>
      <c r="D658" t="s">
        <v>16</v>
      </c>
      <c r="E658" t="s">
        <v>21</v>
      </c>
      <c r="F658">
        <v>4</v>
      </c>
      <c r="G658" t="s">
        <v>14</v>
      </c>
      <c r="H658">
        <v>1</v>
      </c>
      <c r="I658">
        <v>15</v>
      </c>
      <c r="J658">
        <v>9</v>
      </c>
      <c r="K658" t="s">
        <v>19</v>
      </c>
      <c r="L658">
        <v>1</v>
      </c>
      <c r="M658" t="s">
        <v>31</v>
      </c>
      <c r="N658" t="s">
        <v>41</v>
      </c>
      <c r="O658">
        <v>1</v>
      </c>
    </row>
    <row r="659" spans="1:15" x14ac:dyDescent="0.2">
      <c r="A659" t="s">
        <v>692</v>
      </c>
      <c r="B659" s="1">
        <v>45997.5</v>
      </c>
      <c r="C659" t="s">
        <v>11</v>
      </c>
      <c r="D659" t="s">
        <v>12</v>
      </c>
      <c r="E659" t="s">
        <v>21</v>
      </c>
      <c r="F659">
        <v>4</v>
      </c>
      <c r="G659" t="s">
        <v>14</v>
      </c>
      <c r="H659">
        <v>0.1</v>
      </c>
      <c r="I659">
        <v>10.5</v>
      </c>
      <c r="J659">
        <v>10</v>
      </c>
      <c r="K659" t="s">
        <v>19</v>
      </c>
      <c r="L659">
        <v>1</v>
      </c>
      <c r="M659" t="s">
        <v>31</v>
      </c>
      <c r="N659" t="s">
        <v>41</v>
      </c>
      <c r="O659">
        <v>1</v>
      </c>
    </row>
    <row r="660" spans="1:15" x14ac:dyDescent="0.2">
      <c r="A660" t="s">
        <v>693</v>
      </c>
      <c r="B660" s="1">
        <v>46047</v>
      </c>
      <c r="C660" t="s">
        <v>11</v>
      </c>
      <c r="D660" t="s">
        <v>12</v>
      </c>
      <c r="E660" t="s">
        <v>13</v>
      </c>
      <c r="F660">
        <v>5</v>
      </c>
      <c r="G660" t="s">
        <v>14</v>
      </c>
      <c r="H660">
        <v>3.2</v>
      </c>
      <c r="I660">
        <v>23.1</v>
      </c>
      <c r="J660">
        <v>9</v>
      </c>
      <c r="K660" t="s">
        <v>19</v>
      </c>
      <c r="L660">
        <v>1</v>
      </c>
      <c r="M660" t="s">
        <v>31</v>
      </c>
      <c r="N660" t="s">
        <v>35</v>
      </c>
      <c r="O660">
        <v>1</v>
      </c>
    </row>
    <row r="661" spans="1:15" x14ac:dyDescent="0.2">
      <c r="A661" t="s">
        <v>694</v>
      </c>
      <c r="B661" s="1">
        <v>46009.125</v>
      </c>
      <c r="C661" t="s">
        <v>11</v>
      </c>
      <c r="D661" t="s">
        <v>16</v>
      </c>
      <c r="E661" t="s">
        <v>25</v>
      </c>
      <c r="F661">
        <v>5</v>
      </c>
      <c r="G661" t="s">
        <v>14</v>
      </c>
      <c r="H661">
        <v>3.9</v>
      </c>
      <c r="I661">
        <v>5.5</v>
      </c>
      <c r="J661">
        <v>11</v>
      </c>
      <c r="K661" t="s">
        <v>19</v>
      </c>
      <c r="L661">
        <v>1</v>
      </c>
      <c r="M661" t="s">
        <v>31</v>
      </c>
      <c r="N661" t="s">
        <v>35</v>
      </c>
      <c r="O661">
        <v>1</v>
      </c>
    </row>
    <row r="662" spans="1:15" x14ac:dyDescent="0.2">
      <c r="A662" t="s">
        <v>695</v>
      </c>
      <c r="B662" s="1">
        <v>46075.208333333336</v>
      </c>
      <c r="C662" t="s">
        <v>11</v>
      </c>
      <c r="D662" t="s">
        <v>16</v>
      </c>
      <c r="E662" t="s">
        <v>23</v>
      </c>
      <c r="F662">
        <v>4</v>
      </c>
      <c r="G662" t="s">
        <v>14</v>
      </c>
      <c r="H662">
        <v>3.2</v>
      </c>
      <c r="I662">
        <v>17.5</v>
      </c>
      <c r="J662">
        <v>12</v>
      </c>
      <c r="K662" t="s">
        <v>19</v>
      </c>
      <c r="L662">
        <v>1</v>
      </c>
      <c r="M662" t="s">
        <v>31</v>
      </c>
      <c r="N662" t="s">
        <v>35</v>
      </c>
      <c r="O662">
        <v>1</v>
      </c>
    </row>
    <row r="663" spans="1:15" x14ac:dyDescent="0.2">
      <c r="A663" t="s">
        <v>696</v>
      </c>
      <c r="B663" s="1">
        <v>46018.625</v>
      </c>
      <c r="C663" t="s">
        <v>11</v>
      </c>
      <c r="D663" t="s">
        <v>16</v>
      </c>
      <c r="E663" t="s">
        <v>21</v>
      </c>
      <c r="F663">
        <v>4</v>
      </c>
      <c r="G663" t="s">
        <v>14</v>
      </c>
      <c r="H663">
        <v>1.2</v>
      </c>
      <c r="I663">
        <v>10.3</v>
      </c>
      <c r="J663">
        <v>9</v>
      </c>
      <c r="K663" t="s">
        <v>19</v>
      </c>
      <c r="L663">
        <v>1</v>
      </c>
      <c r="M663" t="s">
        <v>31</v>
      </c>
      <c r="N663" t="s">
        <v>35</v>
      </c>
      <c r="O663">
        <v>1</v>
      </c>
    </row>
    <row r="664" spans="1:15" x14ac:dyDescent="0.2">
      <c r="A664" t="s">
        <v>697</v>
      </c>
      <c r="B664" s="1">
        <v>46052.208333333336</v>
      </c>
      <c r="C664" t="s">
        <v>11</v>
      </c>
      <c r="D664" t="s">
        <v>17</v>
      </c>
      <c r="E664" t="s">
        <v>13</v>
      </c>
      <c r="F664">
        <v>2</v>
      </c>
      <c r="G664" t="s">
        <v>24</v>
      </c>
      <c r="H664">
        <v>3.2</v>
      </c>
      <c r="I664">
        <v>11.2</v>
      </c>
      <c r="J664">
        <v>9</v>
      </c>
      <c r="K664" t="s">
        <v>19</v>
      </c>
      <c r="L664">
        <v>1</v>
      </c>
      <c r="M664" t="s">
        <v>31</v>
      </c>
      <c r="N664" t="s">
        <v>35</v>
      </c>
      <c r="O664">
        <v>1</v>
      </c>
    </row>
    <row r="665" spans="1:15" x14ac:dyDescent="0.2">
      <c r="A665" t="s">
        <v>698</v>
      </c>
      <c r="B665" s="1">
        <v>46036.708333333336</v>
      </c>
      <c r="C665" t="s">
        <v>11</v>
      </c>
      <c r="D665" t="s">
        <v>16</v>
      </c>
      <c r="E665" t="s">
        <v>25</v>
      </c>
      <c r="F665">
        <v>2</v>
      </c>
      <c r="G665" t="s">
        <v>24</v>
      </c>
      <c r="H665">
        <v>4.9000000000000004</v>
      </c>
      <c r="I665">
        <v>11</v>
      </c>
      <c r="J665">
        <v>10</v>
      </c>
      <c r="K665" t="s">
        <v>15</v>
      </c>
      <c r="L665">
        <v>0</v>
      </c>
      <c r="M665" t="s">
        <v>31</v>
      </c>
      <c r="N665" t="s">
        <v>32</v>
      </c>
      <c r="O665">
        <v>1</v>
      </c>
    </row>
    <row r="666" spans="1:15" x14ac:dyDescent="0.2">
      <c r="A666" t="s">
        <v>699</v>
      </c>
      <c r="B666" s="1">
        <v>46000.75</v>
      </c>
      <c r="C666" t="s">
        <v>20</v>
      </c>
      <c r="D666" t="s">
        <v>17</v>
      </c>
      <c r="E666" t="s">
        <v>25</v>
      </c>
      <c r="F666">
        <v>5</v>
      </c>
      <c r="G666" t="s">
        <v>14</v>
      </c>
      <c r="H666">
        <v>4.0999999999999996</v>
      </c>
      <c r="I666">
        <v>5.7</v>
      </c>
      <c r="J666">
        <v>10</v>
      </c>
      <c r="K666" t="s">
        <v>15</v>
      </c>
      <c r="L666">
        <v>0</v>
      </c>
      <c r="M666" t="s">
        <v>31</v>
      </c>
      <c r="N666" t="s">
        <v>32</v>
      </c>
      <c r="O666">
        <v>1</v>
      </c>
    </row>
    <row r="667" spans="1:15" x14ac:dyDescent="0.2">
      <c r="A667" t="s">
        <v>700</v>
      </c>
      <c r="B667" s="1">
        <v>46002.666666666664</v>
      </c>
      <c r="C667" t="s">
        <v>20</v>
      </c>
      <c r="D667" t="s">
        <v>17</v>
      </c>
      <c r="E667" t="s">
        <v>13</v>
      </c>
      <c r="F667">
        <v>4</v>
      </c>
      <c r="G667" t="s">
        <v>14</v>
      </c>
      <c r="H667">
        <v>4.7</v>
      </c>
      <c r="I667">
        <v>12.4</v>
      </c>
      <c r="J667">
        <v>12</v>
      </c>
      <c r="K667" t="s">
        <v>15</v>
      </c>
      <c r="L667">
        <v>0</v>
      </c>
      <c r="M667" t="s">
        <v>31</v>
      </c>
      <c r="N667" t="s">
        <v>32</v>
      </c>
      <c r="O667">
        <v>1</v>
      </c>
    </row>
    <row r="668" spans="1:15" x14ac:dyDescent="0.2">
      <c r="A668" t="s">
        <v>701</v>
      </c>
      <c r="B668" s="1">
        <v>45995.041666666664</v>
      </c>
      <c r="C668" t="s">
        <v>11</v>
      </c>
      <c r="D668" t="s">
        <v>12</v>
      </c>
      <c r="E668" t="s">
        <v>13</v>
      </c>
      <c r="F668">
        <v>5</v>
      </c>
      <c r="G668" t="s">
        <v>14</v>
      </c>
      <c r="H668">
        <v>2.5</v>
      </c>
      <c r="I668">
        <v>12</v>
      </c>
      <c r="J668">
        <v>10</v>
      </c>
      <c r="K668" t="s">
        <v>19</v>
      </c>
      <c r="L668">
        <v>1</v>
      </c>
      <c r="M668" t="s">
        <v>31</v>
      </c>
      <c r="N668" t="s">
        <v>35</v>
      </c>
      <c r="O668">
        <v>1</v>
      </c>
    </row>
    <row r="669" spans="1:15" x14ac:dyDescent="0.2">
      <c r="A669" t="s">
        <v>702</v>
      </c>
      <c r="B669" s="1">
        <v>45997.125</v>
      </c>
      <c r="C669" t="s">
        <v>20</v>
      </c>
      <c r="D669" t="s">
        <v>17</v>
      </c>
      <c r="E669" t="s">
        <v>25</v>
      </c>
      <c r="F669">
        <v>3</v>
      </c>
      <c r="G669" t="s">
        <v>26</v>
      </c>
      <c r="H669">
        <v>7.1</v>
      </c>
      <c r="I669">
        <v>14.4</v>
      </c>
      <c r="J669">
        <v>11</v>
      </c>
      <c r="K669" t="s">
        <v>15</v>
      </c>
      <c r="L669">
        <v>0</v>
      </c>
      <c r="M669" t="s">
        <v>31</v>
      </c>
      <c r="N669" t="s">
        <v>32</v>
      </c>
      <c r="O669">
        <v>1</v>
      </c>
    </row>
    <row r="670" spans="1:15" x14ac:dyDescent="0.2">
      <c r="A670" t="s">
        <v>703</v>
      </c>
      <c r="B670" s="1">
        <v>46064.166666666664</v>
      </c>
      <c r="C670" t="s">
        <v>20</v>
      </c>
      <c r="D670" t="s">
        <v>12</v>
      </c>
      <c r="E670" t="s">
        <v>25</v>
      </c>
      <c r="F670">
        <v>1</v>
      </c>
      <c r="G670" t="s">
        <v>24</v>
      </c>
      <c r="H670">
        <v>1.3</v>
      </c>
      <c r="I670">
        <v>13.2</v>
      </c>
      <c r="J670">
        <v>11</v>
      </c>
      <c r="K670" t="s">
        <v>19</v>
      </c>
      <c r="L670">
        <v>1</v>
      </c>
      <c r="M670" t="s">
        <v>31</v>
      </c>
      <c r="N670" t="s">
        <v>35</v>
      </c>
      <c r="O670">
        <v>1</v>
      </c>
    </row>
    <row r="671" spans="1:15" x14ac:dyDescent="0.2">
      <c r="A671" t="s">
        <v>704</v>
      </c>
      <c r="B671" s="1">
        <v>46069.166666666664</v>
      </c>
      <c r="C671" t="s">
        <v>11</v>
      </c>
      <c r="D671" t="s">
        <v>17</v>
      </c>
      <c r="E671" t="s">
        <v>23</v>
      </c>
      <c r="F671">
        <v>4</v>
      </c>
      <c r="G671" t="s">
        <v>14</v>
      </c>
      <c r="H671">
        <v>5.4</v>
      </c>
      <c r="I671">
        <v>18.899999999999999</v>
      </c>
      <c r="J671">
        <v>9</v>
      </c>
      <c r="K671" t="s">
        <v>15</v>
      </c>
      <c r="L671">
        <v>0</v>
      </c>
      <c r="M671" t="s">
        <v>31</v>
      </c>
      <c r="N671" t="s">
        <v>32</v>
      </c>
      <c r="O671">
        <v>1</v>
      </c>
    </row>
    <row r="672" spans="1:15" x14ac:dyDescent="0.2">
      <c r="A672" t="s">
        <v>705</v>
      </c>
      <c r="B672" s="1">
        <v>45999.958333333336</v>
      </c>
      <c r="C672" t="s">
        <v>20</v>
      </c>
      <c r="D672" t="s">
        <v>12</v>
      </c>
      <c r="E672" t="s">
        <v>25</v>
      </c>
      <c r="F672">
        <v>3</v>
      </c>
      <c r="G672" t="s">
        <v>26</v>
      </c>
      <c r="H672">
        <v>7.2</v>
      </c>
      <c r="I672">
        <v>19.899999999999999</v>
      </c>
      <c r="J672">
        <v>10</v>
      </c>
      <c r="K672" t="s">
        <v>15</v>
      </c>
      <c r="L672">
        <v>0</v>
      </c>
      <c r="M672" t="s">
        <v>31</v>
      </c>
      <c r="N672" t="s">
        <v>32</v>
      </c>
      <c r="O672">
        <v>1</v>
      </c>
    </row>
    <row r="673" spans="1:15" x14ac:dyDescent="0.2">
      <c r="A673" t="s">
        <v>706</v>
      </c>
      <c r="B673" s="1">
        <v>46042.416666666664</v>
      </c>
      <c r="C673" t="s">
        <v>11</v>
      </c>
      <c r="D673" t="s">
        <v>17</v>
      </c>
      <c r="E673" t="s">
        <v>23</v>
      </c>
      <c r="F673">
        <v>2</v>
      </c>
      <c r="G673" t="s">
        <v>24</v>
      </c>
      <c r="H673">
        <v>5.4</v>
      </c>
      <c r="I673">
        <v>4.0999999999999996</v>
      </c>
      <c r="J673">
        <v>10</v>
      </c>
      <c r="K673" t="s">
        <v>15</v>
      </c>
      <c r="L673">
        <v>0</v>
      </c>
      <c r="M673" t="s">
        <v>31</v>
      </c>
      <c r="N673" t="s">
        <v>32</v>
      </c>
      <c r="O673">
        <v>1</v>
      </c>
    </row>
    <row r="674" spans="1:15" x14ac:dyDescent="0.2">
      <c r="A674" t="s">
        <v>707</v>
      </c>
      <c r="B674" s="1">
        <v>46077.25</v>
      </c>
      <c r="C674" t="s">
        <v>20</v>
      </c>
      <c r="D674" t="s">
        <v>17</v>
      </c>
      <c r="E674" t="s">
        <v>25</v>
      </c>
      <c r="F674">
        <v>5</v>
      </c>
      <c r="G674" t="s">
        <v>14</v>
      </c>
      <c r="H674">
        <v>3.7</v>
      </c>
      <c r="I674">
        <v>19.5</v>
      </c>
      <c r="J674">
        <v>9</v>
      </c>
      <c r="K674" t="s">
        <v>19</v>
      </c>
      <c r="L674">
        <v>1</v>
      </c>
      <c r="M674" t="s">
        <v>31</v>
      </c>
      <c r="N674" t="s">
        <v>35</v>
      </c>
      <c r="O674">
        <v>1</v>
      </c>
    </row>
    <row r="675" spans="1:15" x14ac:dyDescent="0.2">
      <c r="A675" t="s">
        <v>708</v>
      </c>
      <c r="B675" s="1">
        <v>46035.041666666664</v>
      </c>
      <c r="C675" t="s">
        <v>11</v>
      </c>
      <c r="D675" t="s">
        <v>17</v>
      </c>
      <c r="E675" t="s">
        <v>13</v>
      </c>
      <c r="F675">
        <v>2</v>
      </c>
      <c r="G675" t="s">
        <v>24</v>
      </c>
      <c r="H675">
        <v>2.9</v>
      </c>
      <c r="I675">
        <v>3</v>
      </c>
      <c r="J675">
        <v>12</v>
      </c>
      <c r="K675" t="s">
        <v>19</v>
      </c>
      <c r="L675">
        <v>1</v>
      </c>
      <c r="M675" t="s">
        <v>31</v>
      </c>
      <c r="N675" t="s">
        <v>35</v>
      </c>
      <c r="O675">
        <v>1</v>
      </c>
    </row>
    <row r="676" spans="1:15" x14ac:dyDescent="0.2">
      <c r="A676" t="s">
        <v>709</v>
      </c>
      <c r="B676" s="1">
        <v>46065.916666666664</v>
      </c>
      <c r="C676" t="s">
        <v>11</v>
      </c>
      <c r="D676" t="s">
        <v>17</v>
      </c>
      <c r="E676" t="s">
        <v>21</v>
      </c>
      <c r="F676">
        <v>5</v>
      </c>
      <c r="G676" t="s">
        <v>14</v>
      </c>
      <c r="H676">
        <v>6.8</v>
      </c>
      <c r="I676">
        <v>17.2</v>
      </c>
      <c r="J676">
        <v>10</v>
      </c>
      <c r="K676" t="s">
        <v>15</v>
      </c>
      <c r="L676">
        <v>0</v>
      </c>
      <c r="M676" t="s">
        <v>31</v>
      </c>
      <c r="N676" t="s">
        <v>32</v>
      </c>
      <c r="O676">
        <v>1</v>
      </c>
    </row>
    <row r="677" spans="1:15" x14ac:dyDescent="0.2">
      <c r="A677" t="s">
        <v>710</v>
      </c>
      <c r="B677" s="1">
        <v>46044.583333333336</v>
      </c>
      <c r="C677" t="s">
        <v>11</v>
      </c>
      <c r="D677" t="s">
        <v>12</v>
      </c>
      <c r="E677" t="s">
        <v>13</v>
      </c>
      <c r="F677">
        <v>4</v>
      </c>
      <c r="G677" t="s">
        <v>14</v>
      </c>
      <c r="H677">
        <v>0.6</v>
      </c>
      <c r="I677">
        <v>17.5</v>
      </c>
      <c r="J677">
        <v>10</v>
      </c>
      <c r="K677" t="s">
        <v>19</v>
      </c>
      <c r="L677">
        <v>1</v>
      </c>
      <c r="M677" t="s">
        <v>31</v>
      </c>
      <c r="N677" t="s">
        <v>41</v>
      </c>
      <c r="O677">
        <v>1</v>
      </c>
    </row>
    <row r="678" spans="1:15" x14ac:dyDescent="0.2">
      <c r="A678" t="s">
        <v>711</v>
      </c>
      <c r="B678" s="1">
        <v>46028.791666666664</v>
      </c>
      <c r="C678" t="s">
        <v>20</v>
      </c>
      <c r="D678" t="s">
        <v>12</v>
      </c>
      <c r="E678" t="s">
        <v>23</v>
      </c>
      <c r="F678">
        <v>3</v>
      </c>
      <c r="G678" t="s">
        <v>26</v>
      </c>
      <c r="H678">
        <v>1.8</v>
      </c>
      <c r="I678">
        <v>1</v>
      </c>
      <c r="J678">
        <v>12</v>
      </c>
      <c r="K678" t="s">
        <v>19</v>
      </c>
      <c r="L678">
        <v>1</v>
      </c>
      <c r="M678" t="s">
        <v>31</v>
      </c>
      <c r="N678" t="s">
        <v>35</v>
      </c>
      <c r="O678">
        <v>1</v>
      </c>
    </row>
    <row r="679" spans="1:15" x14ac:dyDescent="0.2">
      <c r="A679" t="s">
        <v>712</v>
      </c>
      <c r="B679" s="1">
        <v>46056.833333333336</v>
      </c>
      <c r="C679" t="s">
        <v>11</v>
      </c>
      <c r="D679" t="s">
        <v>12</v>
      </c>
      <c r="E679" t="s">
        <v>13</v>
      </c>
      <c r="F679">
        <v>4</v>
      </c>
      <c r="G679" t="s">
        <v>14</v>
      </c>
      <c r="H679">
        <v>3.2</v>
      </c>
      <c r="I679">
        <v>13.2</v>
      </c>
      <c r="J679">
        <v>10</v>
      </c>
      <c r="K679" t="s">
        <v>19</v>
      </c>
      <c r="L679">
        <v>1</v>
      </c>
      <c r="M679" t="s">
        <v>31</v>
      </c>
      <c r="N679" t="s">
        <v>35</v>
      </c>
      <c r="O679">
        <v>1</v>
      </c>
    </row>
    <row r="680" spans="1:15" x14ac:dyDescent="0.2">
      <c r="A680" t="s">
        <v>713</v>
      </c>
      <c r="B680" s="1">
        <v>46012.541666666664</v>
      </c>
      <c r="C680" t="s">
        <v>11</v>
      </c>
      <c r="D680" t="s">
        <v>12</v>
      </c>
      <c r="E680" t="s">
        <v>13</v>
      </c>
      <c r="F680">
        <v>5</v>
      </c>
      <c r="G680" t="s">
        <v>14</v>
      </c>
      <c r="H680">
        <v>7.3</v>
      </c>
      <c r="I680">
        <v>8.8000000000000007</v>
      </c>
      <c r="J680">
        <v>11</v>
      </c>
      <c r="K680" t="s">
        <v>15</v>
      </c>
      <c r="L680">
        <v>0</v>
      </c>
      <c r="M680" t="s">
        <v>31</v>
      </c>
      <c r="N680" t="s">
        <v>32</v>
      </c>
      <c r="O680">
        <v>1</v>
      </c>
    </row>
    <row r="681" spans="1:15" x14ac:dyDescent="0.2">
      <c r="A681" t="s">
        <v>714</v>
      </c>
      <c r="B681" s="1">
        <v>46014.333333333336</v>
      </c>
      <c r="C681" t="s">
        <v>11</v>
      </c>
      <c r="D681" t="s">
        <v>16</v>
      </c>
      <c r="E681" t="s">
        <v>23</v>
      </c>
      <c r="F681">
        <v>4</v>
      </c>
      <c r="G681" t="s">
        <v>14</v>
      </c>
      <c r="H681">
        <v>5.0999999999999996</v>
      </c>
      <c r="I681">
        <v>6.4</v>
      </c>
      <c r="J681">
        <v>11</v>
      </c>
      <c r="K681" t="s">
        <v>15</v>
      </c>
      <c r="L681">
        <v>0</v>
      </c>
      <c r="M681" t="s">
        <v>31</v>
      </c>
      <c r="N681" t="s">
        <v>32</v>
      </c>
      <c r="O681">
        <v>1</v>
      </c>
    </row>
    <row r="682" spans="1:15" x14ac:dyDescent="0.2">
      <c r="A682" t="s">
        <v>715</v>
      </c>
      <c r="B682" s="1">
        <v>46047.791666666664</v>
      </c>
      <c r="C682" t="s">
        <v>11</v>
      </c>
      <c r="D682" t="s">
        <v>12</v>
      </c>
      <c r="E682" t="s">
        <v>13</v>
      </c>
      <c r="F682">
        <v>5</v>
      </c>
      <c r="G682" t="s">
        <v>14</v>
      </c>
      <c r="H682">
        <v>1.8</v>
      </c>
      <c r="I682">
        <v>23.3</v>
      </c>
      <c r="J682">
        <v>12</v>
      </c>
      <c r="K682" t="s">
        <v>19</v>
      </c>
      <c r="L682">
        <v>1</v>
      </c>
      <c r="M682" t="s">
        <v>31</v>
      </c>
      <c r="N682" t="s">
        <v>35</v>
      </c>
      <c r="O682">
        <v>1</v>
      </c>
    </row>
    <row r="683" spans="1:15" x14ac:dyDescent="0.2">
      <c r="A683" t="s">
        <v>716</v>
      </c>
      <c r="B683" s="1">
        <v>46049.375</v>
      </c>
      <c r="C683" t="s">
        <v>11</v>
      </c>
      <c r="D683" t="s">
        <v>17</v>
      </c>
      <c r="E683" t="s">
        <v>21</v>
      </c>
      <c r="F683">
        <v>3</v>
      </c>
      <c r="G683" t="s">
        <v>26</v>
      </c>
      <c r="H683">
        <v>3.4</v>
      </c>
      <c r="I683">
        <v>7.3</v>
      </c>
      <c r="J683">
        <v>12</v>
      </c>
      <c r="K683" t="s">
        <v>19</v>
      </c>
      <c r="L683">
        <v>1</v>
      </c>
      <c r="M683" t="s">
        <v>31</v>
      </c>
      <c r="N683" t="s">
        <v>35</v>
      </c>
      <c r="O683">
        <v>1</v>
      </c>
    </row>
    <row r="684" spans="1:15" x14ac:dyDescent="0.2">
      <c r="A684" t="s">
        <v>717</v>
      </c>
      <c r="B684" s="1">
        <v>46044.041666666664</v>
      </c>
      <c r="C684" t="s">
        <v>20</v>
      </c>
      <c r="D684" t="s">
        <v>16</v>
      </c>
      <c r="E684" t="s">
        <v>13</v>
      </c>
      <c r="F684">
        <v>5</v>
      </c>
      <c r="G684" t="s">
        <v>14</v>
      </c>
      <c r="H684">
        <v>2.7</v>
      </c>
      <c r="I684">
        <v>6</v>
      </c>
      <c r="J684">
        <v>11</v>
      </c>
      <c r="K684" t="s">
        <v>19</v>
      </c>
      <c r="L684">
        <v>1</v>
      </c>
      <c r="M684" t="s">
        <v>31</v>
      </c>
      <c r="N684" t="s">
        <v>35</v>
      </c>
      <c r="O684">
        <v>1</v>
      </c>
    </row>
    <row r="685" spans="1:15" x14ac:dyDescent="0.2">
      <c r="A685" t="s">
        <v>718</v>
      </c>
      <c r="B685" s="1">
        <v>46038.875</v>
      </c>
      <c r="C685" t="s">
        <v>11</v>
      </c>
      <c r="D685" t="s">
        <v>17</v>
      </c>
      <c r="E685" t="s">
        <v>23</v>
      </c>
      <c r="F685">
        <v>3</v>
      </c>
      <c r="G685" t="s">
        <v>26</v>
      </c>
      <c r="H685">
        <v>2.4</v>
      </c>
      <c r="I685">
        <v>13.1</v>
      </c>
      <c r="J685">
        <v>11</v>
      </c>
      <c r="K685" t="s">
        <v>19</v>
      </c>
      <c r="L685">
        <v>1</v>
      </c>
      <c r="M685" t="s">
        <v>31</v>
      </c>
      <c r="N685" t="s">
        <v>35</v>
      </c>
      <c r="O685">
        <v>1</v>
      </c>
    </row>
    <row r="686" spans="1:15" x14ac:dyDescent="0.2">
      <c r="A686" t="s">
        <v>719</v>
      </c>
      <c r="B686" s="1">
        <v>46022.916666666664</v>
      </c>
      <c r="C686" t="s">
        <v>11</v>
      </c>
      <c r="D686" t="s">
        <v>12</v>
      </c>
      <c r="E686" t="s">
        <v>23</v>
      </c>
      <c r="F686">
        <v>5</v>
      </c>
      <c r="G686" t="s">
        <v>14</v>
      </c>
      <c r="H686">
        <v>6.6</v>
      </c>
      <c r="I686">
        <v>18</v>
      </c>
      <c r="J686">
        <v>11</v>
      </c>
      <c r="K686" t="s">
        <v>15</v>
      </c>
      <c r="L686">
        <v>0</v>
      </c>
      <c r="M686" t="s">
        <v>31</v>
      </c>
      <c r="N686" t="s">
        <v>32</v>
      </c>
      <c r="O686">
        <v>1</v>
      </c>
    </row>
    <row r="687" spans="1:15" x14ac:dyDescent="0.2">
      <c r="A687" t="s">
        <v>720</v>
      </c>
      <c r="B687" s="1">
        <v>46063.708333333336</v>
      </c>
      <c r="C687" t="s">
        <v>11</v>
      </c>
      <c r="D687" t="s">
        <v>17</v>
      </c>
      <c r="E687" t="s">
        <v>13</v>
      </c>
      <c r="F687">
        <v>5</v>
      </c>
      <c r="G687" t="s">
        <v>14</v>
      </c>
      <c r="H687">
        <v>0.8</v>
      </c>
      <c r="I687">
        <v>11.4</v>
      </c>
      <c r="J687">
        <v>11</v>
      </c>
      <c r="K687" t="s">
        <v>19</v>
      </c>
      <c r="L687">
        <v>1</v>
      </c>
      <c r="M687" t="s">
        <v>31</v>
      </c>
      <c r="N687" t="s">
        <v>41</v>
      </c>
      <c r="O687">
        <v>1</v>
      </c>
    </row>
    <row r="688" spans="1:15" x14ac:dyDescent="0.2">
      <c r="A688" t="s">
        <v>721</v>
      </c>
      <c r="B688" s="1">
        <v>45995.041666666664</v>
      </c>
      <c r="C688" t="s">
        <v>11</v>
      </c>
      <c r="D688" t="s">
        <v>17</v>
      </c>
      <c r="E688" t="s">
        <v>13</v>
      </c>
      <c r="F688">
        <v>5</v>
      </c>
      <c r="G688" t="s">
        <v>14</v>
      </c>
      <c r="H688">
        <v>8.1999999999999993</v>
      </c>
      <c r="I688">
        <v>21.8</v>
      </c>
      <c r="J688">
        <v>12</v>
      </c>
      <c r="K688" t="s">
        <v>15</v>
      </c>
      <c r="L688">
        <v>0</v>
      </c>
      <c r="M688" t="s">
        <v>31</v>
      </c>
      <c r="N688" t="s">
        <v>32</v>
      </c>
      <c r="O688">
        <v>1</v>
      </c>
    </row>
    <row r="689" spans="1:15" x14ac:dyDescent="0.2">
      <c r="A689" t="s">
        <v>722</v>
      </c>
      <c r="B689" s="1">
        <v>45995.5</v>
      </c>
      <c r="C689" t="s">
        <v>11</v>
      </c>
      <c r="D689" t="s">
        <v>16</v>
      </c>
      <c r="E689" t="s">
        <v>23</v>
      </c>
      <c r="F689">
        <v>4</v>
      </c>
      <c r="G689" t="s">
        <v>14</v>
      </c>
      <c r="H689">
        <v>6.3</v>
      </c>
      <c r="I689">
        <v>16.7</v>
      </c>
      <c r="J689">
        <v>12</v>
      </c>
      <c r="K689" t="s">
        <v>15</v>
      </c>
      <c r="L689">
        <v>0</v>
      </c>
      <c r="M689" t="s">
        <v>31</v>
      </c>
      <c r="N689" t="s">
        <v>32</v>
      </c>
      <c r="O689">
        <v>1</v>
      </c>
    </row>
    <row r="690" spans="1:15" x14ac:dyDescent="0.2">
      <c r="A690" t="s">
        <v>723</v>
      </c>
      <c r="B690" s="1">
        <v>46010.541666666664</v>
      </c>
      <c r="C690" t="s">
        <v>11</v>
      </c>
      <c r="D690" t="s">
        <v>16</v>
      </c>
      <c r="E690" t="s">
        <v>23</v>
      </c>
      <c r="F690">
        <v>2</v>
      </c>
      <c r="G690" t="s">
        <v>24</v>
      </c>
      <c r="H690">
        <v>6.9</v>
      </c>
      <c r="I690">
        <v>1</v>
      </c>
      <c r="J690">
        <v>9</v>
      </c>
      <c r="K690" t="s">
        <v>15</v>
      </c>
      <c r="L690">
        <v>0</v>
      </c>
      <c r="M690" t="s">
        <v>31</v>
      </c>
      <c r="N690" t="s">
        <v>32</v>
      </c>
      <c r="O690">
        <v>1</v>
      </c>
    </row>
    <row r="691" spans="1:15" x14ac:dyDescent="0.2">
      <c r="A691" t="s">
        <v>724</v>
      </c>
      <c r="B691" s="1">
        <v>46070.5</v>
      </c>
      <c r="C691" t="s">
        <v>20</v>
      </c>
      <c r="D691" t="s">
        <v>17</v>
      </c>
      <c r="E691" t="s">
        <v>23</v>
      </c>
      <c r="F691">
        <v>1</v>
      </c>
      <c r="G691" t="s">
        <v>24</v>
      </c>
      <c r="H691">
        <v>3</v>
      </c>
      <c r="I691">
        <v>8.3000000000000007</v>
      </c>
      <c r="J691">
        <v>12</v>
      </c>
      <c r="K691" t="s">
        <v>19</v>
      </c>
      <c r="L691">
        <v>1</v>
      </c>
      <c r="M691" t="s">
        <v>31</v>
      </c>
      <c r="N691" t="s">
        <v>35</v>
      </c>
      <c r="O691">
        <v>1</v>
      </c>
    </row>
    <row r="692" spans="1:15" x14ac:dyDescent="0.2">
      <c r="A692" t="s">
        <v>725</v>
      </c>
      <c r="B692" s="1">
        <v>46080.666666666664</v>
      </c>
      <c r="C692" t="s">
        <v>11</v>
      </c>
      <c r="D692" t="s">
        <v>12</v>
      </c>
      <c r="E692" t="s">
        <v>23</v>
      </c>
      <c r="F692">
        <v>5</v>
      </c>
      <c r="G692" t="s">
        <v>14</v>
      </c>
      <c r="H692">
        <v>3.8</v>
      </c>
      <c r="I692">
        <v>8</v>
      </c>
      <c r="J692">
        <v>11</v>
      </c>
      <c r="K692" t="s">
        <v>19</v>
      </c>
      <c r="L692">
        <v>1</v>
      </c>
      <c r="M692" t="s">
        <v>31</v>
      </c>
      <c r="N692" t="s">
        <v>35</v>
      </c>
      <c r="O692">
        <v>1</v>
      </c>
    </row>
    <row r="693" spans="1:15" x14ac:dyDescent="0.2">
      <c r="A693" t="s">
        <v>726</v>
      </c>
      <c r="B693" s="1">
        <v>46013.875</v>
      </c>
      <c r="C693" t="s">
        <v>11</v>
      </c>
      <c r="D693" t="s">
        <v>16</v>
      </c>
      <c r="E693" t="s">
        <v>25</v>
      </c>
      <c r="F693">
        <v>4</v>
      </c>
      <c r="G693" t="s">
        <v>14</v>
      </c>
      <c r="H693">
        <v>0.6</v>
      </c>
      <c r="I693">
        <v>16.3</v>
      </c>
      <c r="J693">
        <v>10</v>
      </c>
      <c r="K693" t="s">
        <v>19</v>
      </c>
      <c r="L693">
        <v>1</v>
      </c>
      <c r="M693" t="s">
        <v>31</v>
      </c>
      <c r="N693" t="s">
        <v>41</v>
      </c>
      <c r="O693">
        <v>1</v>
      </c>
    </row>
    <row r="694" spans="1:15" x14ac:dyDescent="0.2">
      <c r="A694" t="s">
        <v>727</v>
      </c>
      <c r="B694" s="1">
        <v>46023.541666666664</v>
      </c>
      <c r="C694" t="s">
        <v>11</v>
      </c>
      <c r="D694" t="s">
        <v>12</v>
      </c>
      <c r="E694" t="s">
        <v>13</v>
      </c>
      <c r="F694">
        <v>5</v>
      </c>
      <c r="G694" t="s">
        <v>14</v>
      </c>
      <c r="H694">
        <v>2.9</v>
      </c>
      <c r="I694">
        <v>1</v>
      </c>
      <c r="J694">
        <v>11</v>
      </c>
      <c r="K694" t="s">
        <v>19</v>
      </c>
      <c r="L694">
        <v>1</v>
      </c>
      <c r="M694" t="s">
        <v>31</v>
      </c>
      <c r="N694" t="s">
        <v>35</v>
      </c>
      <c r="O694">
        <v>1</v>
      </c>
    </row>
    <row r="695" spans="1:15" x14ac:dyDescent="0.2">
      <c r="A695" t="s">
        <v>728</v>
      </c>
      <c r="B695" s="1">
        <v>45995.041666666664</v>
      </c>
      <c r="C695" t="s">
        <v>11</v>
      </c>
      <c r="D695" t="s">
        <v>12</v>
      </c>
      <c r="E695" t="s">
        <v>23</v>
      </c>
      <c r="F695">
        <v>3</v>
      </c>
      <c r="G695" t="s">
        <v>26</v>
      </c>
      <c r="H695">
        <v>5.4</v>
      </c>
      <c r="I695">
        <v>32.9</v>
      </c>
      <c r="J695">
        <v>11</v>
      </c>
      <c r="K695" t="s">
        <v>15</v>
      </c>
      <c r="L695">
        <v>0</v>
      </c>
      <c r="M695" t="s">
        <v>55</v>
      </c>
      <c r="N695" t="s">
        <v>32</v>
      </c>
      <c r="O695">
        <v>1</v>
      </c>
    </row>
    <row r="696" spans="1:15" x14ac:dyDescent="0.2">
      <c r="A696" t="s">
        <v>729</v>
      </c>
      <c r="B696" s="1">
        <v>45995.666666666664</v>
      </c>
      <c r="C696" t="s">
        <v>20</v>
      </c>
      <c r="D696" t="s">
        <v>12</v>
      </c>
      <c r="E696" t="s">
        <v>18</v>
      </c>
      <c r="F696">
        <v>4</v>
      </c>
      <c r="G696" t="s">
        <v>14</v>
      </c>
      <c r="H696">
        <v>7.4</v>
      </c>
      <c r="I696">
        <v>16.7</v>
      </c>
      <c r="J696">
        <v>12</v>
      </c>
      <c r="K696" t="s">
        <v>15</v>
      </c>
      <c r="L696">
        <v>0</v>
      </c>
      <c r="M696" t="s">
        <v>31</v>
      </c>
      <c r="N696" t="s">
        <v>32</v>
      </c>
      <c r="O696">
        <v>1</v>
      </c>
    </row>
    <row r="697" spans="1:15" x14ac:dyDescent="0.2">
      <c r="A697" t="s">
        <v>730</v>
      </c>
      <c r="B697" s="1">
        <v>46007.5</v>
      </c>
      <c r="C697" t="s">
        <v>11</v>
      </c>
      <c r="D697" t="s">
        <v>12</v>
      </c>
      <c r="E697" t="s">
        <v>23</v>
      </c>
      <c r="F697">
        <v>2</v>
      </c>
      <c r="G697" t="s">
        <v>24</v>
      </c>
      <c r="H697">
        <v>1.4</v>
      </c>
      <c r="I697">
        <v>13.7</v>
      </c>
      <c r="J697">
        <v>9</v>
      </c>
      <c r="K697" t="s">
        <v>19</v>
      </c>
      <c r="L697">
        <v>1</v>
      </c>
      <c r="M697" t="s">
        <v>31</v>
      </c>
      <c r="N697" t="s">
        <v>35</v>
      </c>
      <c r="O697">
        <v>1</v>
      </c>
    </row>
    <row r="698" spans="1:15" x14ac:dyDescent="0.2">
      <c r="A698" t="s">
        <v>731</v>
      </c>
      <c r="B698" s="1">
        <v>46000.541666666664</v>
      </c>
      <c r="C698" t="s">
        <v>11</v>
      </c>
      <c r="D698" t="s">
        <v>12</v>
      </c>
      <c r="E698" t="s">
        <v>25</v>
      </c>
      <c r="F698">
        <v>5</v>
      </c>
      <c r="G698" t="s">
        <v>14</v>
      </c>
      <c r="H698">
        <v>3.3</v>
      </c>
      <c r="I698">
        <v>22</v>
      </c>
      <c r="J698">
        <v>10</v>
      </c>
      <c r="K698" t="s">
        <v>19</v>
      </c>
      <c r="L698">
        <v>1</v>
      </c>
      <c r="M698" t="s">
        <v>31</v>
      </c>
      <c r="N698" t="s">
        <v>35</v>
      </c>
      <c r="O698">
        <v>1</v>
      </c>
    </row>
    <row r="699" spans="1:15" x14ac:dyDescent="0.2">
      <c r="A699" t="s">
        <v>732</v>
      </c>
      <c r="B699" s="1">
        <v>46068.125</v>
      </c>
      <c r="C699" t="s">
        <v>11</v>
      </c>
      <c r="D699" t="s">
        <v>12</v>
      </c>
      <c r="E699" t="s">
        <v>23</v>
      </c>
      <c r="F699">
        <v>5</v>
      </c>
      <c r="G699" t="s">
        <v>14</v>
      </c>
      <c r="H699">
        <v>3.8</v>
      </c>
      <c r="I699">
        <v>31.2</v>
      </c>
      <c r="J699">
        <v>10</v>
      </c>
      <c r="K699" t="s">
        <v>19</v>
      </c>
      <c r="L699">
        <v>1</v>
      </c>
      <c r="M699" t="s">
        <v>55</v>
      </c>
      <c r="N699" t="s">
        <v>35</v>
      </c>
      <c r="O699">
        <v>1</v>
      </c>
    </row>
    <row r="700" spans="1:15" x14ac:dyDescent="0.2">
      <c r="A700" t="s">
        <v>733</v>
      </c>
      <c r="B700" s="1">
        <v>46052.375</v>
      </c>
      <c r="C700" t="s">
        <v>20</v>
      </c>
      <c r="D700" t="s">
        <v>17</v>
      </c>
      <c r="E700" t="s">
        <v>21</v>
      </c>
      <c r="F700">
        <v>5</v>
      </c>
      <c r="G700" t="s">
        <v>14</v>
      </c>
      <c r="H700">
        <v>0.7</v>
      </c>
      <c r="I700">
        <v>19.5</v>
      </c>
      <c r="J700">
        <v>9</v>
      </c>
      <c r="K700" t="s">
        <v>19</v>
      </c>
      <c r="L700">
        <v>1</v>
      </c>
      <c r="M700" t="s">
        <v>31</v>
      </c>
      <c r="N700" t="s">
        <v>41</v>
      </c>
      <c r="O700">
        <v>1</v>
      </c>
    </row>
    <row r="701" spans="1:15" x14ac:dyDescent="0.2">
      <c r="A701" t="s">
        <v>734</v>
      </c>
      <c r="B701" s="1">
        <v>46078.208333333336</v>
      </c>
      <c r="C701" t="s">
        <v>11</v>
      </c>
      <c r="D701" t="s">
        <v>16</v>
      </c>
      <c r="E701" t="s">
        <v>21</v>
      </c>
      <c r="F701">
        <v>4</v>
      </c>
      <c r="G701" t="s">
        <v>14</v>
      </c>
      <c r="H701">
        <v>5.7</v>
      </c>
      <c r="I701">
        <v>20.100000000000001</v>
      </c>
      <c r="J701">
        <v>11</v>
      </c>
      <c r="K701" t="s">
        <v>15</v>
      </c>
      <c r="L701">
        <v>0</v>
      </c>
      <c r="M701" t="s">
        <v>31</v>
      </c>
      <c r="N701" t="s">
        <v>32</v>
      </c>
      <c r="O701">
        <v>1</v>
      </c>
    </row>
    <row r="702" spans="1:15" x14ac:dyDescent="0.2">
      <c r="A702" t="s">
        <v>735</v>
      </c>
      <c r="B702" s="1">
        <v>46010.583333333336</v>
      </c>
      <c r="C702" t="s">
        <v>11</v>
      </c>
      <c r="D702" t="s">
        <v>17</v>
      </c>
      <c r="E702" t="s">
        <v>23</v>
      </c>
      <c r="F702">
        <v>5</v>
      </c>
      <c r="G702" t="s">
        <v>14</v>
      </c>
      <c r="H702">
        <v>2.4</v>
      </c>
      <c r="I702">
        <v>13.5</v>
      </c>
      <c r="J702">
        <v>12</v>
      </c>
      <c r="K702" t="s">
        <v>19</v>
      </c>
      <c r="L702">
        <v>1</v>
      </c>
      <c r="M702" t="s">
        <v>31</v>
      </c>
      <c r="N702" t="s">
        <v>35</v>
      </c>
      <c r="O702">
        <v>1</v>
      </c>
    </row>
    <row r="703" spans="1:15" x14ac:dyDescent="0.2">
      <c r="A703" t="s">
        <v>736</v>
      </c>
      <c r="B703" s="1">
        <v>46003.708333333336</v>
      </c>
      <c r="C703" t="s">
        <v>22</v>
      </c>
      <c r="D703" t="s">
        <v>16</v>
      </c>
      <c r="E703" t="s">
        <v>18</v>
      </c>
      <c r="F703">
        <v>5</v>
      </c>
      <c r="G703" t="s">
        <v>14</v>
      </c>
      <c r="H703">
        <v>3.7</v>
      </c>
      <c r="I703">
        <v>11.4</v>
      </c>
      <c r="J703">
        <v>11</v>
      </c>
      <c r="K703" t="s">
        <v>19</v>
      </c>
      <c r="L703">
        <v>1</v>
      </c>
      <c r="M703" t="s">
        <v>31</v>
      </c>
      <c r="N703" t="s">
        <v>35</v>
      </c>
      <c r="O703">
        <v>1</v>
      </c>
    </row>
    <row r="704" spans="1:15" x14ac:dyDescent="0.2">
      <c r="A704" t="s">
        <v>737</v>
      </c>
      <c r="B704" s="1">
        <v>45999.916666666664</v>
      </c>
      <c r="C704" t="s">
        <v>11</v>
      </c>
      <c r="D704" t="s">
        <v>12</v>
      </c>
      <c r="E704" t="s">
        <v>13</v>
      </c>
      <c r="F704">
        <v>4</v>
      </c>
      <c r="G704" t="s">
        <v>14</v>
      </c>
      <c r="H704">
        <v>3.1</v>
      </c>
      <c r="I704">
        <v>8.6999999999999993</v>
      </c>
      <c r="J704">
        <v>10</v>
      </c>
      <c r="K704" t="s">
        <v>19</v>
      </c>
      <c r="L704">
        <v>1</v>
      </c>
      <c r="M704" t="s">
        <v>31</v>
      </c>
      <c r="N704" t="s">
        <v>35</v>
      </c>
      <c r="O704">
        <v>1</v>
      </c>
    </row>
    <row r="705" spans="1:15" x14ac:dyDescent="0.2">
      <c r="A705" t="s">
        <v>738</v>
      </c>
      <c r="B705" s="1">
        <v>46000.416666666664</v>
      </c>
      <c r="C705" t="s">
        <v>20</v>
      </c>
      <c r="D705" t="s">
        <v>16</v>
      </c>
      <c r="E705" t="s">
        <v>13</v>
      </c>
      <c r="F705">
        <v>5</v>
      </c>
      <c r="G705" t="s">
        <v>14</v>
      </c>
      <c r="H705">
        <v>2.2000000000000002</v>
      </c>
      <c r="I705">
        <v>5.9</v>
      </c>
      <c r="J705">
        <v>10</v>
      </c>
      <c r="K705" t="s">
        <v>19</v>
      </c>
      <c r="L705">
        <v>1</v>
      </c>
      <c r="M705" t="s">
        <v>31</v>
      </c>
      <c r="N705" t="s">
        <v>35</v>
      </c>
      <c r="O705">
        <v>1</v>
      </c>
    </row>
    <row r="706" spans="1:15" x14ac:dyDescent="0.2">
      <c r="A706" t="s">
        <v>739</v>
      </c>
      <c r="B706" s="1">
        <v>45992.625</v>
      </c>
      <c r="C706" t="s">
        <v>22</v>
      </c>
      <c r="D706" t="s">
        <v>16</v>
      </c>
      <c r="E706" t="s">
        <v>21</v>
      </c>
      <c r="F706">
        <v>5</v>
      </c>
      <c r="G706" t="s">
        <v>14</v>
      </c>
      <c r="H706">
        <v>4.2</v>
      </c>
      <c r="I706">
        <v>7</v>
      </c>
      <c r="J706">
        <v>11</v>
      </c>
      <c r="K706" t="s">
        <v>15</v>
      </c>
      <c r="L706">
        <v>0</v>
      </c>
      <c r="M706" t="s">
        <v>31</v>
      </c>
      <c r="N706" t="s">
        <v>32</v>
      </c>
      <c r="O706">
        <v>1</v>
      </c>
    </row>
    <row r="707" spans="1:15" x14ac:dyDescent="0.2">
      <c r="A707" t="s">
        <v>740</v>
      </c>
      <c r="B707" s="1">
        <v>45998.458333333336</v>
      </c>
      <c r="C707" t="s">
        <v>11</v>
      </c>
      <c r="D707" t="s">
        <v>12</v>
      </c>
      <c r="E707" t="s">
        <v>21</v>
      </c>
      <c r="F707">
        <v>5</v>
      </c>
      <c r="G707" t="s">
        <v>14</v>
      </c>
      <c r="H707">
        <v>3.7</v>
      </c>
      <c r="I707">
        <v>1.7</v>
      </c>
      <c r="J707">
        <v>10</v>
      </c>
      <c r="K707" t="s">
        <v>19</v>
      </c>
      <c r="L707">
        <v>1</v>
      </c>
      <c r="M707" t="s">
        <v>31</v>
      </c>
      <c r="N707" t="s">
        <v>35</v>
      </c>
      <c r="O707">
        <v>1</v>
      </c>
    </row>
    <row r="708" spans="1:15" x14ac:dyDescent="0.2">
      <c r="A708" t="s">
        <v>741</v>
      </c>
      <c r="B708" s="1">
        <v>46067.833333333336</v>
      </c>
      <c r="C708" t="s">
        <v>11</v>
      </c>
      <c r="D708" t="s">
        <v>16</v>
      </c>
      <c r="E708" t="s">
        <v>13</v>
      </c>
      <c r="F708">
        <v>5</v>
      </c>
      <c r="G708" t="s">
        <v>14</v>
      </c>
      <c r="H708">
        <v>3.3</v>
      </c>
      <c r="I708">
        <v>11.9</v>
      </c>
      <c r="J708">
        <v>12</v>
      </c>
      <c r="K708" t="s">
        <v>19</v>
      </c>
      <c r="L708">
        <v>1</v>
      </c>
      <c r="M708" t="s">
        <v>31</v>
      </c>
      <c r="N708" t="s">
        <v>35</v>
      </c>
      <c r="O708">
        <v>1</v>
      </c>
    </row>
    <row r="709" spans="1:15" x14ac:dyDescent="0.2">
      <c r="A709" t="s">
        <v>742</v>
      </c>
      <c r="B709" s="1">
        <v>46076.958333333336</v>
      </c>
      <c r="C709" t="s">
        <v>11</v>
      </c>
      <c r="D709" t="s">
        <v>12</v>
      </c>
      <c r="E709" t="s">
        <v>13</v>
      </c>
      <c r="F709">
        <v>4</v>
      </c>
      <c r="G709" t="s">
        <v>14</v>
      </c>
      <c r="H709">
        <v>2.4</v>
      </c>
      <c r="I709">
        <v>1</v>
      </c>
      <c r="J709">
        <v>10</v>
      </c>
      <c r="K709" t="s">
        <v>19</v>
      </c>
      <c r="L709">
        <v>1</v>
      </c>
      <c r="M709" t="s">
        <v>31</v>
      </c>
      <c r="N709" t="s">
        <v>35</v>
      </c>
      <c r="O709">
        <v>1</v>
      </c>
    </row>
    <row r="710" spans="1:15" x14ac:dyDescent="0.2">
      <c r="A710" t="s">
        <v>743</v>
      </c>
      <c r="B710" s="1">
        <v>46043.375</v>
      </c>
      <c r="C710" t="s">
        <v>11</v>
      </c>
      <c r="D710" t="s">
        <v>16</v>
      </c>
      <c r="E710" t="s">
        <v>13</v>
      </c>
      <c r="F710">
        <v>4</v>
      </c>
      <c r="G710" t="s">
        <v>14</v>
      </c>
      <c r="H710">
        <v>5</v>
      </c>
      <c r="I710">
        <v>14</v>
      </c>
      <c r="J710">
        <v>12</v>
      </c>
      <c r="K710" t="s">
        <v>15</v>
      </c>
      <c r="L710">
        <v>0</v>
      </c>
      <c r="M710" t="s">
        <v>31</v>
      </c>
      <c r="N710" t="s">
        <v>32</v>
      </c>
      <c r="O710">
        <v>1</v>
      </c>
    </row>
    <row r="711" spans="1:15" x14ac:dyDescent="0.2">
      <c r="A711" t="s">
        <v>744</v>
      </c>
      <c r="B711" s="1">
        <v>46067.875</v>
      </c>
      <c r="C711" t="s">
        <v>11</v>
      </c>
      <c r="D711" t="s">
        <v>16</v>
      </c>
      <c r="E711" t="s">
        <v>13</v>
      </c>
      <c r="F711">
        <v>5</v>
      </c>
      <c r="G711" t="s">
        <v>14</v>
      </c>
      <c r="H711">
        <v>8.3000000000000007</v>
      </c>
      <c r="I711">
        <v>12.2</v>
      </c>
      <c r="J711">
        <v>11</v>
      </c>
      <c r="K711" t="s">
        <v>15</v>
      </c>
      <c r="L711">
        <v>0</v>
      </c>
      <c r="M711" t="s">
        <v>31</v>
      </c>
      <c r="N711" t="s">
        <v>32</v>
      </c>
      <c r="O711">
        <v>1</v>
      </c>
    </row>
    <row r="712" spans="1:15" x14ac:dyDescent="0.2">
      <c r="A712" t="s">
        <v>745</v>
      </c>
      <c r="B712" s="1">
        <v>46051.291666666664</v>
      </c>
      <c r="C712" t="s">
        <v>11</v>
      </c>
      <c r="D712" t="s">
        <v>12</v>
      </c>
      <c r="E712" t="s">
        <v>21</v>
      </c>
      <c r="F712">
        <v>1</v>
      </c>
      <c r="G712" t="s">
        <v>24</v>
      </c>
      <c r="H712">
        <v>4.5</v>
      </c>
      <c r="I712">
        <v>13.7</v>
      </c>
      <c r="J712">
        <v>11</v>
      </c>
      <c r="K712" t="s">
        <v>15</v>
      </c>
      <c r="L712">
        <v>0</v>
      </c>
      <c r="M712" t="s">
        <v>31</v>
      </c>
      <c r="N712" t="s">
        <v>32</v>
      </c>
      <c r="O712">
        <v>1</v>
      </c>
    </row>
    <row r="713" spans="1:15" x14ac:dyDescent="0.2">
      <c r="A713" t="s">
        <v>746</v>
      </c>
      <c r="B713" s="1">
        <v>46064.5</v>
      </c>
      <c r="C713" t="s">
        <v>11</v>
      </c>
      <c r="D713" t="s">
        <v>12</v>
      </c>
      <c r="E713" t="s">
        <v>23</v>
      </c>
      <c r="F713">
        <v>5</v>
      </c>
      <c r="G713" t="s">
        <v>14</v>
      </c>
      <c r="H713">
        <v>6.7</v>
      </c>
      <c r="I713">
        <v>8.3000000000000007</v>
      </c>
      <c r="J713">
        <v>12</v>
      </c>
      <c r="K713" t="s">
        <v>15</v>
      </c>
      <c r="L713">
        <v>0</v>
      </c>
      <c r="M713" t="s">
        <v>31</v>
      </c>
      <c r="N713" t="s">
        <v>32</v>
      </c>
      <c r="O713">
        <v>1</v>
      </c>
    </row>
    <row r="714" spans="1:15" x14ac:dyDescent="0.2">
      <c r="A714" t="s">
        <v>747</v>
      </c>
      <c r="B714" s="1">
        <v>46023.541666666664</v>
      </c>
      <c r="C714" t="s">
        <v>11</v>
      </c>
      <c r="D714" t="s">
        <v>17</v>
      </c>
      <c r="E714" t="s">
        <v>23</v>
      </c>
      <c r="F714">
        <v>5</v>
      </c>
      <c r="G714" t="s">
        <v>14</v>
      </c>
      <c r="H714">
        <v>0.7</v>
      </c>
      <c r="I714">
        <v>37.1</v>
      </c>
      <c r="J714">
        <v>12</v>
      </c>
      <c r="K714" t="s">
        <v>19</v>
      </c>
      <c r="L714">
        <v>1</v>
      </c>
      <c r="M714" t="s">
        <v>55</v>
      </c>
      <c r="N714" t="s">
        <v>41</v>
      </c>
      <c r="O714">
        <v>1</v>
      </c>
    </row>
    <row r="715" spans="1:15" x14ac:dyDescent="0.2">
      <c r="A715" t="s">
        <v>748</v>
      </c>
      <c r="B715" s="1">
        <v>45996.041666666664</v>
      </c>
      <c r="C715" t="s">
        <v>11</v>
      </c>
      <c r="D715" t="s">
        <v>16</v>
      </c>
      <c r="E715" t="s">
        <v>23</v>
      </c>
      <c r="F715">
        <v>5</v>
      </c>
      <c r="G715" t="s">
        <v>14</v>
      </c>
      <c r="H715">
        <v>4.5999999999999996</v>
      </c>
      <c r="I715">
        <v>23.4</v>
      </c>
      <c r="J715">
        <v>12</v>
      </c>
      <c r="K715" t="s">
        <v>15</v>
      </c>
      <c r="L715">
        <v>0</v>
      </c>
      <c r="M715" t="s">
        <v>31</v>
      </c>
      <c r="N715" t="s">
        <v>32</v>
      </c>
      <c r="O715">
        <v>1</v>
      </c>
    </row>
    <row r="716" spans="1:15" x14ac:dyDescent="0.2">
      <c r="A716" t="s">
        <v>749</v>
      </c>
      <c r="B716" s="1">
        <v>45992.291666666664</v>
      </c>
      <c r="C716" t="s">
        <v>11</v>
      </c>
      <c r="D716" t="s">
        <v>12</v>
      </c>
      <c r="E716" t="s">
        <v>13</v>
      </c>
      <c r="F716">
        <v>5</v>
      </c>
      <c r="G716" t="s">
        <v>14</v>
      </c>
      <c r="H716">
        <v>1.5</v>
      </c>
      <c r="I716">
        <v>2.5</v>
      </c>
      <c r="J716">
        <v>10</v>
      </c>
      <c r="K716" t="s">
        <v>19</v>
      </c>
      <c r="L716">
        <v>1</v>
      </c>
      <c r="M716" t="s">
        <v>31</v>
      </c>
      <c r="N716" t="s">
        <v>35</v>
      </c>
      <c r="O716">
        <v>1</v>
      </c>
    </row>
    <row r="717" spans="1:15" x14ac:dyDescent="0.2">
      <c r="A717" t="s">
        <v>750</v>
      </c>
      <c r="B717" s="1">
        <v>46028.25</v>
      </c>
      <c r="C717" t="s">
        <v>11</v>
      </c>
      <c r="D717" t="s">
        <v>17</v>
      </c>
      <c r="E717" t="s">
        <v>13</v>
      </c>
      <c r="F717">
        <v>4</v>
      </c>
      <c r="G717" t="s">
        <v>14</v>
      </c>
      <c r="H717">
        <v>0.5</v>
      </c>
      <c r="I717">
        <v>14.4</v>
      </c>
      <c r="J717">
        <v>11</v>
      </c>
      <c r="K717" t="s">
        <v>19</v>
      </c>
      <c r="L717">
        <v>1</v>
      </c>
      <c r="M717" t="s">
        <v>31</v>
      </c>
      <c r="N717" t="s">
        <v>41</v>
      </c>
      <c r="O717">
        <v>1</v>
      </c>
    </row>
    <row r="718" spans="1:15" x14ac:dyDescent="0.2">
      <c r="A718" t="s">
        <v>751</v>
      </c>
      <c r="B718" s="1">
        <v>46062.458333333336</v>
      </c>
      <c r="C718" t="s">
        <v>11</v>
      </c>
      <c r="D718" t="s">
        <v>12</v>
      </c>
      <c r="E718" t="s">
        <v>25</v>
      </c>
      <c r="F718">
        <v>4</v>
      </c>
      <c r="G718" t="s">
        <v>14</v>
      </c>
      <c r="H718">
        <v>2.4</v>
      </c>
      <c r="I718">
        <v>7.6</v>
      </c>
      <c r="J718">
        <v>10</v>
      </c>
      <c r="K718" t="s">
        <v>19</v>
      </c>
      <c r="L718">
        <v>1</v>
      </c>
      <c r="M718" t="s">
        <v>31</v>
      </c>
      <c r="N718" t="s">
        <v>35</v>
      </c>
      <c r="O718">
        <v>1</v>
      </c>
    </row>
    <row r="719" spans="1:15" x14ac:dyDescent="0.2">
      <c r="A719" t="s">
        <v>752</v>
      </c>
      <c r="B719" s="1">
        <v>45998.875</v>
      </c>
      <c r="C719" t="s">
        <v>11</v>
      </c>
      <c r="D719" t="s">
        <v>16</v>
      </c>
      <c r="E719" t="s">
        <v>18</v>
      </c>
      <c r="F719">
        <v>2</v>
      </c>
      <c r="G719" t="s">
        <v>24</v>
      </c>
      <c r="H719">
        <v>7.2</v>
      </c>
      <c r="I719">
        <v>4.4000000000000004</v>
      </c>
      <c r="J719">
        <v>10</v>
      </c>
      <c r="K719" t="s">
        <v>15</v>
      </c>
      <c r="L719">
        <v>0</v>
      </c>
      <c r="M719" t="s">
        <v>31</v>
      </c>
      <c r="N719" t="s">
        <v>32</v>
      </c>
      <c r="O719">
        <v>1</v>
      </c>
    </row>
    <row r="720" spans="1:15" x14ac:dyDescent="0.2">
      <c r="A720" t="s">
        <v>753</v>
      </c>
      <c r="B720" s="1">
        <v>46019.208333333336</v>
      </c>
      <c r="C720" t="s">
        <v>20</v>
      </c>
      <c r="D720" t="s">
        <v>17</v>
      </c>
      <c r="E720" t="s">
        <v>21</v>
      </c>
      <c r="F720">
        <v>4</v>
      </c>
      <c r="G720" t="s">
        <v>14</v>
      </c>
      <c r="H720">
        <v>6.6</v>
      </c>
      <c r="I720">
        <v>1.8</v>
      </c>
      <c r="J720">
        <v>12</v>
      </c>
      <c r="K720" t="s">
        <v>15</v>
      </c>
      <c r="L720">
        <v>0</v>
      </c>
      <c r="M720" t="s">
        <v>31</v>
      </c>
      <c r="N720" t="s">
        <v>32</v>
      </c>
      <c r="O720">
        <v>1</v>
      </c>
    </row>
    <row r="721" spans="1:15" x14ac:dyDescent="0.2">
      <c r="A721" t="s">
        <v>754</v>
      </c>
      <c r="B721" s="1">
        <v>46029.666666666664</v>
      </c>
      <c r="C721" t="s">
        <v>11</v>
      </c>
      <c r="D721" t="s">
        <v>12</v>
      </c>
      <c r="E721" t="s">
        <v>13</v>
      </c>
      <c r="F721">
        <v>4</v>
      </c>
      <c r="G721" t="s">
        <v>14</v>
      </c>
      <c r="H721">
        <v>4.8</v>
      </c>
      <c r="I721">
        <v>16</v>
      </c>
      <c r="J721">
        <v>10</v>
      </c>
      <c r="K721" t="s">
        <v>15</v>
      </c>
      <c r="L721">
        <v>0</v>
      </c>
      <c r="M721" t="s">
        <v>31</v>
      </c>
      <c r="N721" t="s">
        <v>32</v>
      </c>
      <c r="O721">
        <v>1</v>
      </c>
    </row>
    <row r="722" spans="1:15" x14ac:dyDescent="0.2">
      <c r="A722" t="s">
        <v>755</v>
      </c>
      <c r="B722" s="1">
        <v>46077.083333333336</v>
      </c>
      <c r="C722" t="s">
        <v>11</v>
      </c>
      <c r="D722" t="s">
        <v>12</v>
      </c>
      <c r="E722" t="s">
        <v>21</v>
      </c>
      <c r="F722">
        <v>4</v>
      </c>
      <c r="G722" t="s">
        <v>14</v>
      </c>
      <c r="H722">
        <v>0.4</v>
      </c>
      <c r="I722">
        <v>7</v>
      </c>
      <c r="J722">
        <v>9</v>
      </c>
      <c r="K722" t="s">
        <v>19</v>
      </c>
      <c r="L722">
        <v>1</v>
      </c>
      <c r="M722" t="s">
        <v>31</v>
      </c>
      <c r="N722" t="s">
        <v>41</v>
      </c>
      <c r="O722">
        <v>1</v>
      </c>
    </row>
    <row r="723" spans="1:15" x14ac:dyDescent="0.2">
      <c r="A723" t="s">
        <v>756</v>
      </c>
      <c r="B723" s="1">
        <v>46034.75</v>
      </c>
      <c r="C723" t="s">
        <v>20</v>
      </c>
      <c r="D723" t="s">
        <v>12</v>
      </c>
      <c r="E723" t="s">
        <v>21</v>
      </c>
      <c r="F723">
        <v>5</v>
      </c>
      <c r="G723" t="s">
        <v>14</v>
      </c>
      <c r="H723">
        <v>3.7</v>
      </c>
      <c r="I723">
        <v>20.2</v>
      </c>
      <c r="J723">
        <v>9</v>
      </c>
      <c r="K723" t="s">
        <v>19</v>
      </c>
      <c r="L723">
        <v>1</v>
      </c>
      <c r="M723" t="s">
        <v>31</v>
      </c>
      <c r="N723" t="s">
        <v>35</v>
      </c>
      <c r="O723">
        <v>1</v>
      </c>
    </row>
    <row r="724" spans="1:15" x14ac:dyDescent="0.2">
      <c r="A724" t="s">
        <v>757</v>
      </c>
      <c r="B724" s="1">
        <v>46025.416666666664</v>
      </c>
      <c r="C724" t="s">
        <v>22</v>
      </c>
      <c r="D724" t="s">
        <v>12</v>
      </c>
      <c r="E724" t="s">
        <v>21</v>
      </c>
      <c r="F724">
        <v>5</v>
      </c>
      <c r="G724" t="s">
        <v>14</v>
      </c>
      <c r="H724">
        <v>5</v>
      </c>
      <c r="I724">
        <v>20.5</v>
      </c>
      <c r="J724">
        <v>9</v>
      </c>
      <c r="K724" t="s">
        <v>15</v>
      </c>
      <c r="L724">
        <v>0</v>
      </c>
      <c r="M724" t="s">
        <v>31</v>
      </c>
      <c r="N724" t="s">
        <v>32</v>
      </c>
      <c r="O724">
        <v>1</v>
      </c>
    </row>
    <row r="725" spans="1:15" x14ac:dyDescent="0.2">
      <c r="A725" t="s">
        <v>758</v>
      </c>
      <c r="B725" s="1">
        <v>46051.541666666664</v>
      </c>
      <c r="C725" t="s">
        <v>11</v>
      </c>
      <c r="D725" t="s">
        <v>12</v>
      </c>
      <c r="E725" t="s">
        <v>23</v>
      </c>
      <c r="F725">
        <v>3</v>
      </c>
      <c r="G725" t="s">
        <v>26</v>
      </c>
      <c r="H725">
        <v>4.5999999999999996</v>
      </c>
      <c r="I725">
        <v>23.5</v>
      </c>
      <c r="J725">
        <v>9</v>
      </c>
      <c r="K725" t="s">
        <v>15</v>
      </c>
      <c r="L725">
        <v>0</v>
      </c>
      <c r="M725" t="s">
        <v>31</v>
      </c>
      <c r="N725" t="s">
        <v>32</v>
      </c>
      <c r="O725">
        <v>1</v>
      </c>
    </row>
    <row r="726" spans="1:15" x14ac:dyDescent="0.2">
      <c r="A726" t="s">
        <v>759</v>
      </c>
      <c r="B726" s="1">
        <v>46069.125</v>
      </c>
      <c r="C726" t="s">
        <v>11</v>
      </c>
      <c r="D726" t="s">
        <v>16</v>
      </c>
      <c r="E726" t="s">
        <v>23</v>
      </c>
      <c r="F726">
        <v>4</v>
      </c>
      <c r="G726" t="s">
        <v>14</v>
      </c>
      <c r="H726">
        <v>0.1</v>
      </c>
      <c r="I726">
        <v>5.7</v>
      </c>
      <c r="J726">
        <v>9</v>
      </c>
      <c r="K726" t="s">
        <v>19</v>
      </c>
      <c r="L726">
        <v>1</v>
      </c>
      <c r="M726" t="s">
        <v>31</v>
      </c>
      <c r="N726" t="s">
        <v>41</v>
      </c>
      <c r="O726">
        <v>1</v>
      </c>
    </row>
    <row r="727" spans="1:15" x14ac:dyDescent="0.2">
      <c r="A727" t="s">
        <v>760</v>
      </c>
      <c r="B727" s="1">
        <v>46034.291666666664</v>
      </c>
      <c r="C727" t="s">
        <v>11</v>
      </c>
      <c r="D727" t="s">
        <v>12</v>
      </c>
      <c r="E727" t="s">
        <v>23</v>
      </c>
      <c r="F727">
        <v>5</v>
      </c>
      <c r="G727" t="s">
        <v>14</v>
      </c>
      <c r="H727">
        <v>2</v>
      </c>
      <c r="I727">
        <v>16.3</v>
      </c>
      <c r="J727">
        <v>12</v>
      </c>
      <c r="K727" t="s">
        <v>19</v>
      </c>
      <c r="L727">
        <v>1</v>
      </c>
      <c r="M727" t="s">
        <v>31</v>
      </c>
      <c r="N727" t="s">
        <v>35</v>
      </c>
      <c r="O727">
        <v>1</v>
      </c>
    </row>
    <row r="728" spans="1:15" x14ac:dyDescent="0.2">
      <c r="A728" t="s">
        <v>761</v>
      </c>
      <c r="B728" s="1">
        <v>45999.541666666664</v>
      </c>
      <c r="C728" t="s">
        <v>20</v>
      </c>
      <c r="D728" t="s">
        <v>16</v>
      </c>
      <c r="E728" t="s">
        <v>13</v>
      </c>
      <c r="F728">
        <v>2</v>
      </c>
      <c r="G728" t="s">
        <v>24</v>
      </c>
      <c r="H728">
        <v>4</v>
      </c>
      <c r="I728">
        <v>17.600000000000001</v>
      </c>
      <c r="J728">
        <v>10</v>
      </c>
      <c r="K728" t="s">
        <v>15</v>
      </c>
      <c r="L728">
        <v>0</v>
      </c>
      <c r="M728" t="s">
        <v>31</v>
      </c>
      <c r="N728" t="s">
        <v>35</v>
      </c>
      <c r="O728">
        <v>1</v>
      </c>
    </row>
    <row r="729" spans="1:15" x14ac:dyDescent="0.2">
      <c r="A729" t="s">
        <v>762</v>
      </c>
      <c r="B729" s="1">
        <v>46074.5</v>
      </c>
      <c r="C729" t="s">
        <v>11</v>
      </c>
      <c r="D729" t="s">
        <v>17</v>
      </c>
      <c r="E729" t="s">
        <v>13</v>
      </c>
      <c r="F729">
        <v>2</v>
      </c>
      <c r="G729" t="s">
        <v>24</v>
      </c>
      <c r="H729">
        <v>5.5</v>
      </c>
      <c r="I729">
        <v>8.6999999999999993</v>
      </c>
      <c r="J729">
        <v>10</v>
      </c>
      <c r="K729" t="s">
        <v>15</v>
      </c>
      <c r="L729">
        <v>0</v>
      </c>
      <c r="M729" t="s">
        <v>31</v>
      </c>
      <c r="N729" t="s">
        <v>32</v>
      </c>
      <c r="O729">
        <v>1</v>
      </c>
    </row>
    <row r="730" spans="1:15" x14ac:dyDescent="0.2">
      <c r="A730" t="s">
        <v>763</v>
      </c>
      <c r="B730" s="1">
        <v>46046.75</v>
      </c>
      <c r="C730" t="s">
        <v>11</v>
      </c>
      <c r="D730" t="s">
        <v>17</v>
      </c>
      <c r="E730" t="s">
        <v>13</v>
      </c>
      <c r="F730">
        <v>3</v>
      </c>
      <c r="G730" t="s">
        <v>26</v>
      </c>
      <c r="H730">
        <v>0.1</v>
      </c>
      <c r="I730">
        <v>6.3</v>
      </c>
      <c r="J730">
        <v>9</v>
      </c>
      <c r="K730" t="s">
        <v>19</v>
      </c>
      <c r="L730">
        <v>1</v>
      </c>
      <c r="M730" t="s">
        <v>31</v>
      </c>
      <c r="N730" t="s">
        <v>41</v>
      </c>
      <c r="O730">
        <v>1</v>
      </c>
    </row>
    <row r="731" spans="1:15" x14ac:dyDescent="0.2">
      <c r="A731" t="s">
        <v>764</v>
      </c>
      <c r="B731" s="1">
        <v>46066.416666666664</v>
      </c>
      <c r="C731" t="s">
        <v>20</v>
      </c>
      <c r="D731" t="s">
        <v>16</v>
      </c>
      <c r="E731" t="s">
        <v>23</v>
      </c>
      <c r="F731">
        <v>5</v>
      </c>
      <c r="G731" t="s">
        <v>14</v>
      </c>
      <c r="H731">
        <v>3.8</v>
      </c>
      <c r="I731">
        <v>25.4</v>
      </c>
      <c r="J731">
        <v>10</v>
      </c>
      <c r="K731" t="s">
        <v>19</v>
      </c>
      <c r="L731">
        <v>1</v>
      </c>
      <c r="M731" t="s">
        <v>55</v>
      </c>
      <c r="N731" t="s">
        <v>35</v>
      </c>
      <c r="O731">
        <v>1</v>
      </c>
    </row>
    <row r="732" spans="1:15" x14ac:dyDescent="0.2">
      <c r="A732" t="s">
        <v>765</v>
      </c>
      <c r="B732" s="1">
        <v>46070.125</v>
      </c>
      <c r="C732" t="s">
        <v>20</v>
      </c>
      <c r="D732" t="s">
        <v>12</v>
      </c>
      <c r="E732" t="s">
        <v>25</v>
      </c>
      <c r="F732">
        <v>3</v>
      </c>
      <c r="G732" t="s">
        <v>26</v>
      </c>
      <c r="H732">
        <v>4.5999999999999996</v>
      </c>
      <c r="I732">
        <v>14.3</v>
      </c>
      <c r="J732">
        <v>9</v>
      </c>
      <c r="K732" t="s">
        <v>15</v>
      </c>
      <c r="L732">
        <v>0</v>
      </c>
      <c r="M732" t="s">
        <v>31</v>
      </c>
      <c r="N732" t="s">
        <v>32</v>
      </c>
      <c r="O732">
        <v>1</v>
      </c>
    </row>
    <row r="733" spans="1:15" x14ac:dyDescent="0.2">
      <c r="A733" t="s">
        <v>766</v>
      </c>
      <c r="B733" s="1">
        <v>46054.166666666664</v>
      </c>
      <c r="C733" t="s">
        <v>11</v>
      </c>
      <c r="D733" t="s">
        <v>16</v>
      </c>
      <c r="E733" t="s">
        <v>23</v>
      </c>
      <c r="F733">
        <v>5</v>
      </c>
      <c r="G733" t="s">
        <v>14</v>
      </c>
      <c r="H733">
        <v>6.3</v>
      </c>
      <c r="I733">
        <v>17.600000000000001</v>
      </c>
      <c r="J733">
        <v>10</v>
      </c>
      <c r="K733" t="s">
        <v>15</v>
      </c>
      <c r="L733">
        <v>0</v>
      </c>
      <c r="M733" t="s">
        <v>31</v>
      </c>
      <c r="N733" t="s">
        <v>32</v>
      </c>
      <c r="O733">
        <v>1</v>
      </c>
    </row>
    <row r="734" spans="1:15" x14ac:dyDescent="0.2">
      <c r="A734" t="s">
        <v>767</v>
      </c>
      <c r="B734" s="1">
        <v>46000.208333333336</v>
      </c>
      <c r="C734" t="s">
        <v>11</v>
      </c>
      <c r="D734" t="s">
        <v>16</v>
      </c>
      <c r="E734" t="s">
        <v>13</v>
      </c>
      <c r="F734">
        <v>4</v>
      </c>
      <c r="G734" t="s">
        <v>14</v>
      </c>
      <c r="H734">
        <v>5.9</v>
      </c>
      <c r="I734">
        <v>5.9</v>
      </c>
      <c r="J734">
        <v>12</v>
      </c>
      <c r="K734" t="s">
        <v>15</v>
      </c>
      <c r="L734">
        <v>0</v>
      </c>
      <c r="M734" t="s">
        <v>31</v>
      </c>
      <c r="N734" t="s">
        <v>32</v>
      </c>
      <c r="O734">
        <v>1</v>
      </c>
    </row>
    <row r="735" spans="1:15" x14ac:dyDescent="0.2">
      <c r="A735" t="s">
        <v>768</v>
      </c>
      <c r="B735" s="1">
        <v>46079.958333333336</v>
      </c>
      <c r="C735" t="s">
        <v>11</v>
      </c>
      <c r="D735" t="s">
        <v>16</v>
      </c>
      <c r="E735" t="s">
        <v>18</v>
      </c>
      <c r="F735">
        <v>4</v>
      </c>
      <c r="G735" t="s">
        <v>14</v>
      </c>
      <c r="H735">
        <v>5.7</v>
      </c>
      <c r="I735">
        <v>2.7</v>
      </c>
      <c r="J735">
        <v>11</v>
      </c>
      <c r="K735" t="s">
        <v>15</v>
      </c>
      <c r="L735">
        <v>0</v>
      </c>
      <c r="M735" t="s">
        <v>31</v>
      </c>
      <c r="N735" t="s">
        <v>32</v>
      </c>
      <c r="O735">
        <v>1</v>
      </c>
    </row>
    <row r="736" spans="1:15" x14ac:dyDescent="0.2">
      <c r="A736" t="s">
        <v>769</v>
      </c>
      <c r="B736" s="1">
        <v>46039.708333333336</v>
      </c>
      <c r="C736" t="s">
        <v>11</v>
      </c>
      <c r="D736" t="s">
        <v>12</v>
      </c>
      <c r="E736" t="s">
        <v>18</v>
      </c>
      <c r="F736">
        <v>3</v>
      </c>
      <c r="G736" t="s">
        <v>26</v>
      </c>
      <c r="H736">
        <v>2.2000000000000002</v>
      </c>
      <c r="I736">
        <v>7.9</v>
      </c>
      <c r="J736">
        <v>9</v>
      </c>
      <c r="K736" t="s">
        <v>19</v>
      </c>
      <c r="L736">
        <v>1</v>
      </c>
      <c r="M736" t="s">
        <v>31</v>
      </c>
      <c r="N736" t="s">
        <v>35</v>
      </c>
      <c r="O736">
        <v>1</v>
      </c>
    </row>
    <row r="737" spans="1:15" x14ac:dyDescent="0.2">
      <c r="A737" t="s">
        <v>770</v>
      </c>
      <c r="B737" s="1">
        <v>46065.25</v>
      </c>
      <c r="C737" t="s">
        <v>11</v>
      </c>
      <c r="D737" t="s">
        <v>17</v>
      </c>
      <c r="E737" t="s">
        <v>21</v>
      </c>
      <c r="F737">
        <v>4</v>
      </c>
      <c r="G737" t="s">
        <v>14</v>
      </c>
      <c r="H737">
        <v>0.1</v>
      </c>
      <c r="I737">
        <v>11.5</v>
      </c>
      <c r="J737">
        <v>12</v>
      </c>
      <c r="K737" t="s">
        <v>19</v>
      </c>
      <c r="L737">
        <v>1</v>
      </c>
      <c r="M737" t="s">
        <v>31</v>
      </c>
      <c r="N737" t="s">
        <v>41</v>
      </c>
      <c r="O737">
        <v>1</v>
      </c>
    </row>
    <row r="738" spans="1:15" x14ac:dyDescent="0.2">
      <c r="A738" t="s">
        <v>771</v>
      </c>
      <c r="B738" s="1">
        <v>46055.916666666664</v>
      </c>
      <c r="C738" t="s">
        <v>11</v>
      </c>
      <c r="D738" t="s">
        <v>16</v>
      </c>
      <c r="E738" t="s">
        <v>18</v>
      </c>
      <c r="F738">
        <v>5</v>
      </c>
      <c r="G738" t="s">
        <v>14</v>
      </c>
      <c r="H738">
        <v>3.2</v>
      </c>
      <c r="I738">
        <v>4</v>
      </c>
      <c r="J738">
        <v>12</v>
      </c>
      <c r="K738" t="s">
        <v>19</v>
      </c>
      <c r="L738">
        <v>1</v>
      </c>
      <c r="M738" t="s">
        <v>31</v>
      </c>
      <c r="N738" t="s">
        <v>35</v>
      </c>
      <c r="O738">
        <v>1</v>
      </c>
    </row>
    <row r="739" spans="1:15" x14ac:dyDescent="0.2">
      <c r="A739" t="s">
        <v>772</v>
      </c>
      <c r="B739" s="1">
        <v>46011.75</v>
      </c>
      <c r="C739" t="s">
        <v>11</v>
      </c>
      <c r="D739" t="s">
        <v>12</v>
      </c>
      <c r="E739" t="s">
        <v>23</v>
      </c>
      <c r="F739">
        <v>5</v>
      </c>
      <c r="G739" t="s">
        <v>14</v>
      </c>
      <c r="H739">
        <v>6.7</v>
      </c>
      <c r="I739">
        <v>12.4</v>
      </c>
      <c r="J739">
        <v>9</v>
      </c>
      <c r="K739" t="s">
        <v>15</v>
      </c>
      <c r="L739">
        <v>0</v>
      </c>
      <c r="M739" t="s">
        <v>31</v>
      </c>
      <c r="N739" t="s">
        <v>32</v>
      </c>
      <c r="O739">
        <v>1</v>
      </c>
    </row>
    <row r="740" spans="1:15" x14ac:dyDescent="0.2">
      <c r="A740" t="s">
        <v>773</v>
      </c>
      <c r="B740" s="1">
        <v>46006.75</v>
      </c>
      <c r="C740" t="s">
        <v>11</v>
      </c>
      <c r="D740" t="s">
        <v>12</v>
      </c>
      <c r="E740" t="s">
        <v>18</v>
      </c>
      <c r="F740">
        <v>5</v>
      </c>
      <c r="G740" t="s">
        <v>14</v>
      </c>
      <c r="H740">
        <v>7.7</v>
      </c>
      <c r="I740">
        <v>1</v>
      </c>
      <c r="J740">
        <v>9</v>
      </c>
      <c r="K740" t="s">
        <v>15</v>
      </c>
      <c r="L740">
        <v>0</v>
      </c>
      <c r="M740" t="s">
        <v>31</v>
      </c>
      <c r="N740" t="s">
        <v>32</v>
      </c>
      <c r="O740">
        <v>1</v>
      </c>
    </row>
    <row r="741" spans="1:15" x14ac:dyDescent="0.2">
      <c r="A741" t="s">
        <v>774</v>
      </c>
      <c r="B741" s="1">
        <v>46052.583333333336</v>
      </c>
      <c r="C741" t="s">
        <v>11</v>
      </c>
      <c r="D741" t="s">
        <v>16</v>
      </c>
      <c r="E741" t="s">
        <v>13</v>
      </c>
      <c r="F741">
        <v>5</v>
      </c>
      <c r="G741" t="s">
        <v>14</v>
      </c>
      <c r="H741">
        <v>6</v>
      </c>
      <c r="I741">
        <v>3.5</v>
      </c>
      <c r="J741">
        <v>12</v>
      </c>
      <c r="K741" t="s">
        <v>15</v>
      </c>
      <c r="L741">
        <v>0</v>
      </c>
      <c r="M741" t="s">
        <v>31</v>
      </c>
      <c r="N741" t="s">
        <v>32</v>
      </c>
      <c r="O741">
        <v>1</v>
      </c>
    </row>
    <row r="742" spans="1:15" x14ac:dyDescent="0.2">
      <c r="A742" t="s">
        <v>775</v>
      </c>
      <c r="B742" s="1">
        <v>46063.208333333336</v>
      </c>
      <c r="C742" t="s">
        <v>11</v>
      </c>
      <c r="D742" t="s">
        <v>17</v>
      </c>
      <c r="E742" t="s">
        <v>23</v>
      </c>
      <c r="F742">
        <v>5</v>
      </c>
      <c r="G742" t="s">
        <v>14</v>
      </c>
      <c r="H742">
        <v>5.3</v>
      </c>
      <c r="I742">
        <v>17.899999999999999</v>
      </c>
      <c r="J742">
        <v>9</v>
      </c>
      <c r="K742" t="s">
        <v>15</v>
      </c>
      <c r="L742">
        <v>0</v>
      </c>
      <c r="M742" t="s">
        <v>31</v>
      </c>
      <c r="N742" t="s">
        <v>32</v>
      </c>
      <c r="O742">
        <v>1</v>
      </c>
    </row>
    <row r="743" spans="1:15" x14ac:dyDescent="0.2">
      <c r="A743" t="s">
        <v>776</v>
      </c>
      <c r="B743" s="1">
        <v>46081.666666666664</v>
      </c>
      <c r="C743" t="s">
        <v>11</v>
      </c>
      <c r="D743" t="s">
        <v>16</v>
      </c>
      <c r="E743" t="s">
        <v>13</v>
      </c>
      <c r="F743">
        <v>5</v>
      </c>
      <c r="G743" t="s">
        <v>14</v>
      </c>
      <c r="H743">
        <v>5.0999999999999996</v>
      </c>
      <c r="I743">
        <v>17.3</v>
      </c>
      <c r="J743">
        <v>9</v>
      </c>
      <c r="K743" t="s">
        <v>15</v>
      </c>
      <c r="L743">
        <v>0</v>
      </c>
      <c r="M743" t="s">
        <v>31</v>
      </c>
      <c r="N743" t="s">
        <v>32</v>
      </c>
      <c r="O743">
        <v>1</v>
      </c>
    </row>
    <row r="744" spans="1:15" x14ac:dyDescent="0.2">
      <c r="A744" t="s">
        <v>777</v>
      </c>
      <c r="B744" s="1">
        <v>46063.833333333336</v>
      </c>
      <c r="C744" t="s">
        <v>11</v>
      </c>
      <c r="D744" t="s">
        <v>17</v>
      </c>
      <c r="E744" t="s">
        <v>13</v>
      </c>
      <c r="F744">
        <v>5</v>
      </c>
      <c r="G744" t="s">
        <v>14</v>
      </c>
      <c r="H744">
        <v>2.8</v>
      </c>
      <c r="I744">
        <v>9.4</v>
      </c>
      <c r="J744">
        <v>11</v>
      </c>
      <c r="K744" t="s">
        <v>19</v>
      </c>
      <c r="L744">
        <v>1</v>
      </c>
      <c r="M744" t="s">
        <v>31</v>
      </c>
      <c r="N744" t="s">
        <v>35</v>
      </c>
      <c r="O744">
        <v>1</v>
      </c>
    </row>
    <row r="745" spans="1:15" x14ac:dyDescent="0.2">
      <c r="A745" t="s">
        <v>778</v>
      </c>
      <c r="B745" s="1">
        <v>46012.666666666664</v>
      </c>
      <c r="C745" t="s">
        <v>11</v>
      </c>
      <c r="D745" t="s">
        <v>12</v>
      </c>
      <c r="E745" t="s">
        <v>13</v>
      </c>
      <c r="F745">
        <v>2</v>
      </c>
      <c r="G745" t="s">
        <v>24</v>
      </c>
      <c r="H745">
        <v>3.9</v>
      </c>
      <c r="I745">
        <v>4.4000000000000004</v>
      </c>
      <c r="J745">
        <v>11</v>
      </c>
      <c r="K745" t="s">
        <v>19</v>
      </c>
      <c r="L745">
        <v>1</v>
      </c>
      <c r="M745" t="s">
        <v>31</v>
      </c>
      <c r="N745" t="s">
        <v>35</v>
      </c>
      <c r="O745">
        <v>1</v>
      </c>
    </row>
    <row r="746" spans="1:15" x14ac:dyDescent="0.2">
      <c r="A746" t="s">
        <v>779</v>
      </c>
      <c r="B746" s="1">
        <v>46059.875</v>
      </c>
      <c r="C746" t="s">
        <v>11</v>
      </c>
      <c r="D746" t="s">
        <v>16</v>
      </c>
      <c r="E746" t="s">
        <v>25</v>
      </c>
      <c r="F746">
        <v>1</v>
      </c>
      <c r="G746" t="s">
        <v>24</v>
      </c>
      <c r="H746">
        <v>8.4</v>
      </c>
      <c r="I746">
        <v>4.3</v>
      </c>
      <c r="J746">
        <v>9</v>
      </c>
      <c r="K746" t="s">
        <v>15</v>
      </c>
      <c r="L746">
        <v>0</v>
      </c>
      <c r="M746" t="s">
        <v>31</v>
      </c>
      <c r="N746" t="s">
        <v>32</v>
      </c>
      <c r="O746">
        <v>1</v>
      </c>
    </row>
    <row r="747" spans="1:15" x14ac:dyDescent="0.2">
      <c r="A747" t="s">
        <v>780</v>
      </c>
      <c r="B747" s="1">
        <v>45998</v>
      </c>
      <c r="C747" t="s">
        <v>11</v>
      </c>
      <c r="D747" t="s">
        <v>16</v>
      </c>
      <c r="E747" t="s">
        <v>21</v>
      </c>
      <c r="F747">
        <v>3</v>
      </c>
      <c r="G747" t="s">
        <v>26</v>
      </c>
      <c r="H747">
        <v>1.8</v>
      </c>
      <c r="I747">
        <v>9.5</v>
      </c>
      <c r="J747">
        <v>12</v>
      </c>
      <c r="K747" t="s">
        <v>19</v>
      </c>
      <c r="L747">
        <v>1</v>
      </c>
      <c r="M747" t="s">
        <v>31</v>
      </c>
      <c r="N747" t="s">
        <v>35</v>
      </c>
      <c r="O747">
        <v>1</v>
      </c>
    </row>
    <row r="748" spans="1:15" x14ac:dyDescent="0.2">
      <c r="A748" t="s">
        <v>781</v>
      </c>
      <c r="B748" s="1">
        <v>46066</v>
      </c>
      <c r="C748" t="s">
        <v>11</v>
      </c>
      <c r="D748" t="s">
        <v>12</v>
      </c>
      <c r="E748" t="s">
        <v>25</v>
      </c>
      <c r="F748">
        <v>5</v>
      </c>
      <c r="G748" t="s">
        <v>14</v>
      </c>
      <c r="H748">
        <v>8.1999999999999993</v>
      </c>
      <c r="I748">
        <v>17.7</v>
      </c>
      <c r="J748">
        <v>10</v>
      </c>
      <c r="K748" t="s">
        <v>15</v>
      </c>
      <c r="L748">
        <v>0</v>
      </c>
      <c r="M748" t="s">
        <v>31</v>
      </c>
      <c r="N748" t="s">
        <v>32</v>
      </c>
      <c r="O748">
        <v>1</v>
      </c>
    </row>
    <row r="749" spans="1:15" x14ac:dyDescent="0.2">
      <c r="A749" t="s">
        <v>782</v>
      </c>
      <c r="B749" s="1">
        <v>46036.708333333336</v>
      </c>
      <c r="C749" t="s">
        <v>11</v>
      </c>
      <c r="D749" t="s">
        <v>12</v>
      </c>
      <c r="E749" t="s">
        <v>13</v>
      </c>
      <c r="F749">
        <v>4</v>
      </c>
      <c r="G749" t="s">
        <v>14</v>
      </c>
      <c r="H749">
        <v>3.4</v>
      </c>
      <c r="I749">
        <v>19.899999999999999</v>
      </c>
      <c r="J749">
        <v>9</v>
      </c>
      <c r="K749" t="s">
        <v>19</v>
      </c>
      <c r="L749">
        <v>1</v>
      </c>
      <c r="M749" t="s">
        <v>31</v>
      </c>
      <c r="N749" t="s">
        <v>35</v>
      </c>
      <c r="O749">
        <v>1</v>
      </c>
    </row>
    <row r="750" spans="1:15" x14ac:dyDescent="0.2">
      <c r="A750" t="s">
        <v>783</v>
      </c>
      <c r="B750" s="1">
        <v>46006.583333333336</v>
      </c>
      <c r="C750" t="s">
        <v>11</v>
      </c>
      <c r="D750" t="s">
        <v>17</v>
      </c>
      <c r="E750" t="s">
        <v>21</v>
      </c>
      <c r="F750">
        <v>4</v>
      </c>
      <c r="G750" t="s">
        <v>14</v>
      </c>
      <c r="H750">
        <v>7.5</v>
      </c>
      <c r="I750">
        <v>8.5</v>
      </c>
      <c r="J750">
        <v>9</v>
      </c>
      <c r="K750" t="s">
        <v>15</v>
      </c>
      <c r="L750">
        <v>0</v>
      </c>
      <c r="M750" t="s">
        <v>31</v>
      </c>
      <c r="N750" t="s">
        <v>32</v>
      </c>
      <c r="O750">
        <v>1</v>
      </c>
    </row>
    <row r="751" spans="1:15" x14ac:dyDescent="0.2">
      <c r="A751" t="s">
        <v>784</v>
      </c>
      <c r="B751" s="1">
        <v>46079.791666666664</v>
      </c>
      <c r="C751" t="s">
        <v>11</v>
      </c>
      <c r="D751" t="s">
        <v>12</v>
      </c>
      <c r="E751" t="s">
        <v>25</v>
      </c>
      <c r="F751">
        <v>5</v>
      </c>
      <c r="G751" t="s">
        <v>14</v>
      </c>
      <c r="H751">
        <v>0.7</v>
      </c>
      <c r="I751">
        <v>3.3</v>
      </c>
      <c r="J751">
        <v>10</v>
      </c>
      <c r="K751" t="s">
        <v>19</v>
      </c>
      <c r="L751">
        <v>1</v>
      </c>
      <c r="M751" t="s">
        <v>31</v>
      </c>
      <c r="N751" t="s">
        <v>41</v>
      </c>
      <c r="O751">
        <v>1</v>
      </c>
    </row>
    <row r="752" spans="1:15" x14ac:dyDescent="0.2">
      <c r="A752" t="s">
        <v>785</v>
      </c>
      <c r="B752" s="1">
        <v>46048.958333333336</v>
      </c>
      <c r="C752" t="s">
        <v>20</v>
      </c>
      <c r="D752" t="s">
        <v>16</v>
      </c>
      <c r="E752" t="s">
        <v>23</v>
      </c>
      <c r="F752">
        <v>5</v>
      </c>
      <c r="G752" t="s">
        <v>14</v>
      </c>
      <c r="H752">
        <v>5.7</v>
      </c>
      <c r="I752">
        <v>14.6</v>
      </c>
      <c r="J752">
        <v>10</v>
      </c>
      <c r="K752" t="s">
        <v>15</v>
      </c>
      <c r="L752">
        <v>0</v>
      </c>
      <c r="M752" t="s">
        <v>31</v>
      </c>
      <c r="N752" t="s">
        <v>32</v>
      </c>
      <c r="O752">
        <v>1</v>
      </c>
    </row>
    <row r="753" spans="1:15" x14ac:dyDescent="0.2">
      <c r="A753" t="s">
        <v>786</v>
      </c>
      <c r="B753" s="1">
        <v>46065.041666666664</v>
      </c>
      <c r="C753" t="s">
        <v>11</v>
      </c>
      <c r="D753" t="s">
        <v>12</v>
      </c>
      <c r="E753" t="s">
        <v>25</v>
      </c>
      <c r="F753">
        <v>5</v>
      </c>
      <c r="G753" t="s">
        <v>14</v>
      </c>
      <c r="H753">
        <v>2.4</v>
      </c>
      <c r="I753">
        <v>5.9</v>
      </c>
      <c r="J753">
        <v>10</v>
      </c>
      <c r="K753" t="s">
        <v>19</v>
      </c>
      <c r="L753">
        <v>1</v>
      </c>
      <c r="M753" t="s">
        <v>31</v>
      </c>
      <c r="N753" t="s">
        <v>35</v>
      </c>
      <c r="O753">
        <v>1</v>
      </c>
    </row>
    <row r="754" spans="1:15" x14ac:dyDescent="0.2">
      <c r="A754" t="s">
        <v>787</v>
      </c>
      <c r="B754" s="1">
        <v>46028.333333333336</v>
      </c>
      <c r="C754" t="s">
        <v>11</v>
      </c>
      <c r="D754" t="s">
        <v>12</v>
      </c>
      <c r="E754" t="s">
        <v>13</v>
      </c>
      <c r="F754">
        <v>4</v>
      </c>
      <c r="G754" t="s">
        <v>14</v>
      </c>
      <c r="H754">
        <v>0.7</v>
      </c>
      <c r="I754">
        <v>8.4</v>
      </c>
      <c r="J754">
        <v>11</v>
      </c>
      <c r="K754" t="s">
        <v>19</v>
      </c>
      <c r="L754">
        <v>1</v>
      </c>
      <c r="M754" t="s">
        <v>31</v>
      </c>
      <c r="N754" t="s">
        <v>41</v>
      </c>
      <c r="O754">
        <v>1</v>
      </c>
    </row>
    <row r="755" spans="1:15" x14ac:dyDescent="0.2">
      <c r="A755" t="s">
        <v>788</v>
      </c>
      <c r="B755" s="1">
        <v>46067.041666666664</v>
      </c>
      <c r="C755" t="s">
        <v>11</v>
      </c>
      <c r="D755" t="s">
        <v>12</v>
      </c>
      <c r="E755" t="s">
        <v>23</v>
      </c>
      <c r="F755">
        <v>5</v>
      </c>
      <c r="G755" t="s">
        <v>14</v>
      </c>
      <c r="H755">
        <v>4.7</v>
      </c>
      <c r="I755">
        <v>23.1</v>
      </c>
      <c r="J755">
        <v>11</v>
      </c>
      <c r="K755" t="s">
        <v>15</v>
      </c>
      <c r="L755">
        <v>0</v>
      </c>
      <c r="M755" t="s">
        <v>31</v>
      </c>
      <c r="N755" t="s">
        <v>32</v>
      </c>
      <c r="O755">
        <v>1</v>
      </c>
    </row>
    <row r="756" spans="1:15" x14ac:dyDescent="0.2">
      <c r="A756" t="s">
        <v>789</v>
      </c>
      <c r="B756" s="1">
        <v>46073.375</v>
      </c>
      <c r="C756" t="s">
        <v>20</v>
      </c>
      <c r="D756" t="s">
        <v>17</v>
      </c>
      <c r="E756" t="s">
        <v>18</v>
      </c>
      <c r="F756">
        <v>4</v>
      </c>
      <c r="G756" t="s">
        <v>14</v>
      </c>
      <c r="H756">
        <v>6.7</v>
      </c>
      <c r="I756">
        <v>19.100000000000001</v>
      </c>
      <c r="J756">
        <v>11</v>
      </c>
      <c r="K756" t="s">
        <v>15</v>
      </c>
      <c r="L756">
        <v>0</v>
      </c>
      <c r="M756" t="s">
        <v>31</v>
      </c>
      <c r="N756" t="s">
        <v>32</v>
      </c>
      <c r="O756">
        <v>1</v>
      </c>
    </row>
    <row r="757" spans="1:15" x14ac:dyDescent="0.2">
      <c r="A757" t="s">
        <v>790</v>
      </c>
      <c r="B757" s="1">
        <v>46024.541666666664</v>
      </c>
      <c r="C757" t="s">
        <v>11</v>
      </c>
      <c r="D757" t="s">
        <v>17</v>
      </c>
      <c r="E757" t="s">
        <v>13</v>
      </c>
      <c r="F757">
        <v>3</v>
      </c>
      <c r="G757" t="s">
        <v>26</v>
      </c>
      <c r="H757">
        <v>2.1</v>
      </c>
      <c r="I757">
        <v>13.8</v>
      </c>
      <c r="J757">
        <v>12</v>
      </c>
      <c r="K757" t="s">
        <v>19</v>
      </c>
      <c r="L757">
        <v>1</v>
      </c>
      <c r="M757" t="s">
        <v>31</v>
      </c>
      <c r="N757" t="s">
        <v>35</v>
      </c>
      <c r="O757">
        <v>1</v>
      </c>
    </row>
    <row r="758" spans="1:15" x14ac:dyDescent="0.2">
      <c r="A758" t="s">
        <v>791</v>
      </c>
      <c r="B758" s="1">
        <v>46016.25</v>
      </c>
      <c r="C758" t="s">
        <v>11</v>
      </c>
      <c r="D758" t="s">
        <v>17</v>
      </c>
      <c r="E758" t="s">
        <v>23</v>
      </c>
      <c r="F758">
        <v>3</v>
      </c>
      <c r="G758" t="s">
        <v>26</v>
      </c>
      <c r="H758">
        <v>0.5</v>
      </c>
      <c r="I758">
        <v>2.2999999999999998</v>
      </c>
      <c r="J758">
        <v>9</v>
      </c>
      <c r="K758" t="s">
        <v>19</v>
      </c>
      <c r="L758">
        <v>1</v>
      </c>
      <c r="M758" t="s">
        <v>31</v>
      </c>
      <c r="N758" t="s">
        <v>41</v>
      </c>
      <c r="O758">
        <v>1</v>
      </c>
    </row>
    <row r="759" spans="1:15" x14ac:dyDescent="0.2">
      <c r="A759" t="s">
        <v>792</v>
      </c>
      <c r="B759" s="1">
        <v>46068.416666666664</v>
      </c>
      <c r="C759" t="s">
        <v>11</v>
      </c>
      <c r="D759" t="s">
        <v>16</v>
      </c>
      <c r="E759" t="s">
        <v>21</v>
      </c>
      <c r="F759">
        <v>4</v>
      </c>
      <c r="G759" t="s">
        <v>14</v>
      </c>
      <c r="H759">
        <v>4</v>
      </c>
      <c r="I759">
        <v>14.2</v>
      </c>
      <c r="J759">
        <v>11</v>
      </c>
      <c r="K759" t="s">
        <v>15</v>
      </c>
      <c r="L759">
        <v>0</v>
      </c>
      <c r="M759" t="s">
        <v>31</v>
      </c>
      <c r="N759" t="s">
        <v>35</v>
      </c>
      <c r="O759">
        <v>1</v>
      </c>
    </row>
    <row r="760" spans="1:15" x14ac:dyDescent="0.2">
      <c r="A760" t="s">
        <v>793</v>
      </c>
      <c r="B760" s="1">
        <v>46017.708333333336</v>
      </c>
      <c r="C760" t="s">
        <v>11</v>
      </c>
      <c r="D760" t="s">
        <v>12</v>
      </c>
      <c r="E760" t="s">
        <v>25</v>
      </c>
      <c r="F760">
        <v>4</v>
      </c>
      <c r="G760" t="s">
        <v>14</v>
      </c>
      <c r="H760">
        <v>4</v>
      </c>
      <c r="I760">
        <v>21</v>
      </c>
      <c r="J760">
        <v>12</v>
      </c>
      <c r="K760" t="s">
        <v>15</v>
      </c>
      <c r="L760">
        <v>0</v>
      </c>
      <c r="M760" t="s">
        <v>31</v>
      </c>
      <c r="N760" t="s">
        <v>35</v>
      </c>
      <c r="O760">
        <v>1</v>
      </c>
    </row>
    <row r="761" spans="1:15" x14ac:dyDescent="0.2">
      <c r="A761" t="s">
        <v>794</v>
      </c>
      <c r="B761" s="1">
        <v>46003.958333333336</v>
      </c>
      <c r="C761" t="s">
        <v>11</v>
      </c>
      <c r="D761" t="s">
        <v>16</v>
      </c>
      <c r="E761" t="s">
        <v>13</v>
      </c>
      <c r="F761">
        <v>5</v>
      </c>
      <c r="G761" t="s">
        <v>14</v>
      </c>
      <c r="H761">
        <v>5.6</v>
      </c>
      <c r="I761">
        <v>9.5</v>
      </c>
      <c r="J761">
        <v>12</v>
      </c>
      <c r="K761" t="s">
        <v>15</v>
      </c>
      <c r="L761">
        <v>0</v>
      </c>
      <c r="M761" t="s">
        <v>31</v>
      </c>
      <c r="N761" t="s">
        <v>32</v>
      </c>
      <c r="O761">
        <v>1</v>
      </c>
    </row>
    <row r="762" spans="1:15" x14ac:dyDescent="0.2">
      <c r="A762" t="s">
        <v>795</v>
      </c>
      <c r="B762" s="1">
        <v>45997.333333333336</v>
      </c>
      <c r="C762" t="s">
        <v>20</v>
      </c>
      <c r="D762" t="s">
        <v>16</v>
      </c>
      <c r="E762" t="s">
        <v>13</v>
      </c>
      <c r="F762">
        <v>2</v>
      </c>
      <c r="G762" t="s">
        <v>24</v>
      </c>
      <c r="H762">
        <v>6.6</v>
      </c>
      <c r="I762">
        <v>23.3</v>
      </c>
      <c r="J762">
        <v>10</v>
      </c>
      <c r="K762" t="s">
        <v>15</v>
      </c>
      <c r="L762">
        <v>0</v>
      </c>
      <c r="M762" t="s">
        <v>31</v>
      </c>
      <c r="N762" t="s">
        <v>32</v>
      </c>
      <c r="O762">
        <v>1</v>
      </c>
    </row>
    <row r="763" spans="1:15" x14ac:dyDescent="0.2">
      <c r="A763" t="s">
        <v>796</v>
      </c>
      <c r="B763" s="1">
        <v>46043.416666666664</v>
      </c>
      <c r="C763" t="s">
        <v>11</v>
      </c>
      <c r="D763" t="s">
        <v>17</v>
      </c>
      <c r="E763" t="s">
        <v>13</v>
      </c>
      <c r="F763">
        <v>5</v>
      </c>
      <c r="G763" t="s">
        <v>14</v>
      </c>
      <c r="H763">
        <v>4.0999999999999996</v>
      </c>
      <c r="I763">
        <v>22.8</v>
      </c>
      <c r="J763">
        <v>10</v>
      </c>
      <c r="K763" t="s">
        <v>15</v>
      </c>
      <c r="L763">
        <v>0</v>
      </c>
      <c r="M763" t="s">
        <v>31</v>
      </c>
      <c r="N763" t="s">
        <v>32</v>
      </c>
      <c r="O763">
        <v>1</v>
      </c>
    </row>
    <row r="764" spans="1:15" x14ac:dyDescent="0.2">
      <c r="A764" t="s">
        <v>797</v>
      </c>
      <c r="B764" s="1">
        <v>46000</v>
      </c>
      <c r="C764" t="s">
        <v>11</v>
      </c>
      <c r="D764" t="s">
        <v>12</v>
      </c>
      <c r="E764" t="s">
        <v>25</v>
      </c>
      <c r="F764">
        <v>4</v>
      </c>
      <c r="G764" t="s">
        <v>14</v>
      </c>
      <c r="H764">
        <v>8.8000000000000007</v>
      </c>
      <c r="I764">
        <v>25.8</v>
      </c>
      <c r="J764">
        <v>11</v>
      </c>
      <c r="K764" t="s">
        <v>15</v>
      </c>
      <c r="L764">
        <v>0</v>
      </c>
      <c r="M764" t="s">
        <v>55</v>
      </c>
      <c r="N764" t="s">
        <v>32</v>
      </c>
      <c r="O764">
        <v>1</v>
      </c>
    </row>
    <row r="765" spans="1:15" x14ac:dyDescent="0.2">
      <c r="A765" t="s">
        <v>798</v>
      </c>
      <c r="B765" s="1">
        <v>46074.375</v>
      </c>
      <c r="C765" t="s">
        <v>11</v>
      </c>
      <c r="D765" t="s">
        <v>16</v>
      </c>
      <c r="E765" t="s">
        <v>23</v>
      </c>
      <c r="F765">
        <v>4</v>
      </c>
      <c r="G765" t="s">
        <v>14</v>
      </c>
      <c r="H765">
        <v>4.8</v>
      </c>
      <c r="I765">
        <v>14.9</v>
      </c>
      <c r="J765">
        <v>9</v>
      </c>
      <c r="K765" t="s">
        <v>15</v>
      </c>
      <c r="L765">
        <v>0</v>
      </c>
      <c r="M765" t="s">
        <v>31</v>
      </c>
      <c r="N765" t="s">
        <v>32</v>
      </c>
      <c r="O765">
        <v>1</v>
      </c>
    </row>
    <row r="766" spans="1:15" x14ac:dyDescent="0.2">
      <c r="A766" t="s">
        <v>799</v>
      </c>
      <c r="B766" s="1">
        <v>46030.458333333336</v>
      </c>
      <c r="C766" t="s">
        <v>22</v>
      </c>
      <c r="D766" t="s">
        <v>12</v>
      </c>
      <c r="E766" t="s">
        <v>13</v>
      </c>
      <c r="F766">
        <v>4</v>
      </c>
      <c r="G766" t="s">
        <v>14</v>
      </c>
      <c r="H766">
        <v>3.3</v>
      </c>
      <c r="I766">
        <v>17.2</v>
      </c>
      <c r="J766">
        <v>9</v>
      </c>
      <c r="K766" t="s">
        <v>19</v>
      </c>
      <c r="L766">
        <v>1</v>
      </c>
      <c r="M766" t="s">
        <v>31</v>
      </c>
      <c r="N766" t="s">
        <v>35</v>
      </c>
      <c r="O766">
        <v>1</v>
      </c>
    </row>
    <row r="767" spans="1:15" x14ac:dyDescent="0.2">
      <c r="A767" t="s">
        <v>800</v>
      </c>
      <c r="B767" s="1">
        <v>45994.875</v>
      </c>
      <c r="C767" t="s">
        <v>11</v>
      </c>
      <c r="D767" t="s">
        <v>12</v>
      </c>
      <c r="E767" t="s">
        <v>18</v>
      </c>
      <c r="F767">
        <v>4</v>
      </c>
      <c r="G767" t="s">
        <v>14</v>
      </c>
      <c r="H767">
        <v>0.2</v>
      </c>
      <c r="I767">
        <v>23.8</v>
      </c>
      <c r="J767">
        <v>9</v>
      </c>
      <c r="K767" t="s">
        <v>19</v>
      </c>
      <c r="L767">
        <v>1</v>
      </c>
      <c r="M767" t="s">
        <v>31</v>
      </c>
      <c r="N767" t="s">
        <v>41</v>
      </c>
      <c r="O767">
        <v>1</v>
      </c>
    </row>
    <row r="768" spans="1:15" x14ac:dyDescent="0.2">
      <c r="A768" t="s">
        <v>801</v>
      </c>
      <c r="B768" s="1">
        <v>46019.083333333336</v>
      </c>
      <c r="C768" t="s">
        <v>11</v>
      </c>
      <c r="D768" t="s">
        <v>16</v>
      </c>
      <c r="E768" t="s">
        <v>23</v>
      </c>
      <c r="F768">
        <v>5</v>
      </c>
      <c r="G768" t="s">
        <v>14</v>
      </c>
      <c r="H768">
        <v>3.5</v>
      </c>
      <c r="I768">
        <v>16.100000000000001</v>
      </c>
      <c r="J768">
        <v>12</v>
      </c>
      <c r="K768" t="s">
        <v>19</v>
      </c>
      <c r="L768">
        <v>1</v>
      </c>
      <c r="M768" t="s">
        <v>31</v>
      </c>
      <c r="N768" t="s">
        <v>35</v>
      </c>
      <c r="O768">
        <v>1</v>
      </c>
    </row>
    <row r="769" spans="1:15" x14ac:dyDescent="0.2">
      <c r="A769" t="s">
        <v>802</v>
      </c>
      <c r="B769" s="1">
        <v>46025.916666666664</v>
      </c>
      <c r="C769" t="s">
        <v>11</v>
      </c>
      <c r="D769" t="s">
        <v>16</v>
      </c>
      <c r="E769" t="s">
        <v>13</v>
      </c>
      <c r="F769">
        <v>4</v>
      </c>
      <c r="G769" t="s">
        <v>14</v>
      </c>
      <c r="H769">
        <v>3.4</v>
      </c>
      <c r="I769">
        <v>8.5</v>
      </c>
      <c r="J769">
        <v>12</v>
      </c>
      <c r="K769" t="s">
        <v>19</v>
      </c>
      <c r="L769">
        <v>1</v>
      </c>
      <c r="M769" t="s">
        <v>31</v>
      </c>
      <c r="N769" t="s">
        <v>35</v>
      </c>
      <c r="O769">
        <v>1</v>
      </c>
    </row>
    <row r="770" spans="1:15" x14ac:dyDescent="0.2">
      <c r="A770" t="s">
        <v>803</v>
      </c>
      <c r="B770" s="1">
        <v>46071.583333333336</v>
      </c>
      <c r="C770" t="s">
        <v>11</v>
      </c>
      <c r="D770" t="s">
        <v>12</v>
      </c>
      <c r="E770" t="s">
        <v>23</v>
      </c>
      <c r="F770">
        <v>3</v>
      </c>
      <c r="G770" t="s">
        <v>26</v>
      </c>
      <c r="H770">
        <v>6.6</v>
      </c>
      <c r="I770">
        <v>8.9</v>
      </c>
      <c r="J770">
        <v>12</v>
      </c>
      <c r="K770" t="s">
        <v>15</v>
      </c>
      <c r="L770">
        <v>0</v>
      </c>
      <c r="M770" t="s">
        <v>31</v>
      </c>
      <c r="N770" t="s">
        <v>32</v>
      </c>
      <c r="O770">
        <v>1</v>
      </c>
    </row>
    <row r="771" spans="1:15" x14ac:dyDescent="0.2">
      <c r="A771" t="s">
        <v>804</v>
      </c>
      <c r="B771" s="1">
        <v>46004.833333333336</v>
      </c>
      <c r="C771" t="s">
        <v>11</v>
      </c>
      <c r="D771" t="s">
        <v>12</v>
      </c>
      <c r="E771" t="s">
        <v>25</v>
      </c>
      <c r="F771">
        <v>2</v>
      </c>
      <c r="G771" t="s">
        <v>24</v>
      </c>
      <c r="H771">
        <v>5.4</v>
      </c>
      <c r="I771">
        <v>14.4</v>
      </c>
      <c r="J771">
        <v>12</v>
      </c>
      <c r="K771" t="s">
        <v>15</v>
      </c>
      <c r="L771">
        <v>0</v>
      </c>
      <c r="M771" t="s">
        <v>31</v>
      </c>
      <c r="N771" t="s">
        <v>32</v>
      </c>
      <c r="O771">
        <v>1</v>
      </c>
    </row>
    <row r="772" spans="1:15" x14ac:dyDescent="0.2">
      <c r="A772" t="s">
        <v>805</v>
      </c>
      <c r="B772" s="1">
        <v>46073.833333333336</v>
      </c>
      <c r="C772" t="s">
        <v>20</v>
      </c>
      <c r="D772" t="s">
        <v>16</v>
      </c>
      <c r="E772" t="s">
        <v>13</v>
      </c>
      <c r="F772">
        <v>4</v>
      </c>
      <c r="G772" t="s">
        <v>14</v>
      </c>
      <c r="H772">
        <v>1.3</v>
      </c>
      <c r="I772">
        <v>2.2000000000000002</v>
      </c>
      <c r="J772">
        <v>9</v>
      </c>
      <c r="K772" t="s">
        <v>19</v>
      </c>
      <c r="L772">
        <v>1</v>
      </c>
      <c r="M772" t="s">
        <v>31</v>
      </c>
      <c r="N772" t="s">
        <v>35</v>
      </c>
      <c r="O772">
        <v>1</v>
      </c>
    </row>
    <row r="773" spans="1:15" x14ac:dyDescent="0.2">
      <c r="A773" t="s">
        <v>806</v>
      </c>
      <c r="B773" s="1">
        <v>46046.208333333336</v>
      </c>
      <c r="C773" t="s">
        <v>11</v>
      </c>
      <c r="D773" t="s">
        <v>17</v>
      </c>
      <c r="E773" t="s">
        <v>13</v>
      </c>
      <c r="F773">
        <v>5</v>
      </c>
      <c r="G773" t="s">
        <v>14</v>
      </c>
      <c r="H773">
        <v>4.5999999999999996</v>
      </c>
      <c r="I773">
        <v>11.4</v>
      </c>
      <c r="J773">
        <v>9</v>
      </c>
      <c r="K773" t="s">
        <v>15</v>
      </c>
      <c r="L773">
        <v>0</v>
      </c>
      <c r="M773" t="s">
        <v>31</v>
      </c>
      <c r="N773" t="s">
        <v>32</v>
      </c>
      <c r="O773">
        <v>1</v>
      </c>
    </row>
    <row r="774" spans="1:15" x14ac:dyDescent="0.2">
      <c r="A774" t="s">
        <v>807</v>
      </c>
      <c r="B774" s="1">
        <v>46000.25</v>
      </c>
      <c r="C774" t="s">
        <v>20</v>
      </c>
      <c r="D774" t="s">
        <v>17</v>
      </c>
      <c r="E774" t="s">
        <v>21</v>
      </c>
      <c r="F774">
        <v>4</v>
      </c>
      <c r="G774" t="s">
        <v>14</v>
      </c>
      <c r="H774">
        <v>5.9</v>
      </c>
      <c r="I774">
        <v>21.3</v>
      </c>
      <c r="J774">
        <v>10</v>
      </c>
      <c r="K774" t="s">
        <v>15</v>
      </c>
      <c r="L774">
        <v>0</v>
      </c>
      <c r="M774" t="s">
        <v>31</v>
      </c>
      <c r="N774" t="s">
        <v>32</v>
      </c>
      <c r="O774">
        <v>1</v>
      </c>
    </row>
    <row r="775" spans="1:15" x14ac:dyDescent="0.2">
      <c r="A775" t="s">
        <v>808</v>
      </c>
      <c r="B775" s="1">
        <v>46011.083333333336</v>
      </c>
      <c r="C775" t="s">
        <v>11</v>
      </c>
      <c r="D775" t="s">
        <v>17</v>
      </c>
      <c r="E775" t="s">
        <v>23</v>
      </c>
      <c r="F775">
        <v>5</v>
      </c>
      <c r="G775" t="s">
        <v>14</v>
      </c>
      <c r="H775">
        <v>8</v>
      </c>
      <c r="I775">
        <v>1</v>
      </c>
      <c r="J775">
        <v>9</v>
      </c>
      <c r="K775" t="s">
        <v>15</v>
      </c>
      <c r="L775">
        <v>0</v>
      </c>
      <c r="M775" t="s">
        <v>31</v>
      </c>
      <c r="N775" t="s">
        <v>32</v>
      </c>
      <c r="O775">
        <v>1</v>
      </c>
    </row>
    <row r="776" spans="1:15" x14ac:dyDescent="0.2">
      <c r="A776" t="s">
        <v>809</v>
      </c>
      <c r="B776" s="1">
        <v>46040.5</v>
      </c>
      <c r="C776" t="s">
        <v>11</v>
      </c>
      <c r="D776" t="s">
        <v>17</v>
      </c>
      <c r="E776" t="s">
        <v>23</v>
      </c>
      <c r="F776">
        <v>5</v>
      </c>
      <c r="G776" t="s">
        <v>14</v>
      </c>
      <c r="H776">
        <v>6.4</v>
      </c>
      <c r="I776">
        <v>24.8</v>
      </c>
      <c r="J776">
        <v>12</v>
      </c>
      <c r="K776" t="s">
        <v>15</v>
      </c>
      <c r="L776">
        <v>0</v>
      </c>
      <c r="M776" t="s">
        <v>55</v>
      </c>
      <c r="N776" t="s">
        <v>32</v>
      </c>
      <c r="O776">
        <v>1</v>
      </c>
    </row>
    <row r="777" spans="1:15" x14ac:dyDescent="0.2">
      <c r="A777" t="s">
        <v>810</v>
      </c>
      <c r="B777" s="1">
        <v>46005.333333333336</v>
      </c>
      <c r="C777" t="s">
        <v>20</v>
      </c>
      <c r="D777" t="s">
        <v>12</v>
      </c>
      <c r="E777" t="s">
        <v>23</v>
      </c>
      <c r="F777">
        <v>5</v>
      </c>
      <c r="G777" t="s">
        <v>14</v>
      </c>
      <c r="H777">
        <v>6.1</v>
      </c>
      <c r="I777">
        <v>21.5</v>
      </c>
      <c r="J777">
        <v>12</v>
      </c>
      <c r="K777" t="s">
        <v>15</v>
      </c>
      <c r="L777">
        <v>0</v>
      </c>
      <c r="M777" t="s">
        <v>31</v>
      </c>
      <c r="N777" t="s">
        <v>32</v>
      </c>
      <c r="O777">
        <v>1</v>
      </c>
    </row>
    <row r="778" spans="1:15" x14ac:dyDescent="0.2">
      <c r="A778" t="s">
        <v>811</v>
      </c>
      <c r="B778" s="1">
        <v>46044.416666666664</v>
      </c>
      <c r="C778" t="s">
        <v>11</v>
      </c>
      <c r="D778" t="s">
        <v>16</v>
      </c>
      <c r="E778" t="s">
        <v>13</v>
      </c>
      <c r="F778">
        <v>5</v>
      </c>
      <c r="G778" t="s">
        <v>14</v>
      </c>
      <c r="H778">
        <v>4.4000000000000004</v>
      </c>
      <c r="I778">
        <v>8.8000000000000007</v>
      </c>
      <c r="J778">
        <v>11</v>
      </c>
      <c r="K778" t="s">
        <v>15</v>
      </c>
      <c r="L778">
        <v>0</v>
      </c>
      <c r="M778" t="s">
        <v>31</v>
      </c>
      <c r="N778" t="s">
        <v>32</v>
      </c>
      <c r="O778">
        <v>1</v>
      </c>
    </row>
    <row r="779" spans="1:15" x14ac:dyDescent="0.2">
      <c r="A779" t="s">
        <v>812</v>
      </c>
      <c r="B779" s="1">
        <v>46017.208333333336</v>
      </c>
      <c r="C779" t="s">
        <v>11</v>
      </c>
      <c r="D779" t="s">
        <v>16</v>
      </c>
      <c r="E779" t="s">
        <v>13</v>
      </c>
      <c r="F779">
        <v>5</v>
      </c>
      <c r="G779" t="s">
        <v>14</v>
      </c>
      <c r="H779">
        <v>5.2</v>
      </c>
      <c r="I779">
        <v>16.8</v>
      </c>
      <c r="J779">
        <v>9</v>
      </c>
      <c r="K779" t="s">
        <v>15</v>
      </c>
      <c r="L779">
        <v>0</v>
      </c>
      <c r="M779" t="s">
        <v>31</v>
      </c>
      <c r="N779" t="s">
        <v>32</v>
      </c>
      <c r="O779">
        <v>1</v>
      </c>
    </row>
    <row r="780" spans="1:15" x14ac:dyDescent="0.2">
      <c r="A780" t="s">
        <v>813</v>
      </c>
      <c r="B780" s="1">
        <v>46026.875</v>
      </c>
      <c r="C780" t="s">
        <v>11</v>
      </c>
      <c r="D780" t="s">
        <v>12</v>
      </c>
      <c r="E780" t="s">
        <v>23</v>
      </c>
      <c r="F780">
        <v>5</v>
      </c>
      <c r="G780" t="s">
        <v>14</v>
      </c>
      <c r="H780">
        <v>7.3</v>
      </c>
      <c r="I780">
        <v>12.5</v>
      </c>
      <c r="J780">
        <v>9</v>
      </c>
      <c r="K780" t="s">
        <v>15</v>
      </c>
      <c r="L780">
        <v>0</v>
      </c>
      <c r="M780" t="s">
        <v>31</v>
      </c>
      <c r="N780" t="s">
        <v>32</v>
      </c>
      <c r="O780">
        <v>1</v>
      </c>
    </row>
    <row r="781" spans="1:15" x14ac:dyDescent="0.2">
      <c r="A781" t="s">
        <v>814</v>
      </c>
      <c r="B781" s="1">
        <v>45992.875</v>
      </c>
      <c r="C781" t="s">
        <v>11</v>
      </c>
      <c r="D781" t="s">
        <v>17</v>
      </c>
      <c r="E781" t="s">
        <v>13</v>
      </c>
      <c r="F781">
        <v>5</v>
      </c>
      <c r="G781" t="s">
        <v>14</v>
      </c>
      <c r="H781">
        <v>0.9</v>
      </c>
      <c r="I781">
        <v>22.3</v>
      </c>
      <c r="J781">
        <v>10</v>
      </c>
      <c r="K781" t="s">
        <v>19</v>
      </c>
      <c r="L781">
        <v>1</v>
      </c>
      <c r="M781" t="s">
        <v>31</v>
      </c>
      <c r="N781" t="s">
        <v>41</v>
      </c>
      <c r="O781">
        <v>1</v>
      </c>
    </row>
    <row r="782" spans="1:15" x14ac:dyDescent="0.2">
      <c r="A782" t="s">
        <v>815</v>
      </c>
      <c r="B782" s="1">
        <v>45998.166666666664</v>
      </c>
      <c r="C782" t="s">
        <v>11</v>
      </c>
      <c r="D782" t="s">
        <v>12</v>
      </c>
      <c r="E782" t="s">
        <v>13</v>
      </c>
      <c r="F782">
        <v>4</v>
      </c>
      <c r="G782" t="s">
        <v>14</v>
      </c>
      <c r="H782">
        <v>3.3</v>
      </c>
      <c r="I782">
        <v>20.399999999999999</v>
      </c>
      <c r="J782">
        <v>10</v>
      </c>
      <c r="K782" t="s">
        <v>19</v>
      </c>
      <c r="L782">
        <v>1</v>
      </c>
      <c r="M782" t="s">
        <v>31</v>
      </c>
      <c r="N782" t="s">
        <v>35</v>
      </c>
      <c r="O782">
        <v>1</v>
      </c>
    </row>
    <row r="783" spans="1:15" x14ac:dyDescent="0.2">
      <c r="A783" t="s">
        <v>816</v>
      </c>
      <c r="B783" s="1">
        <v>46011.041666666664</v>
      </c>
      <c r="C783" t="s">
        <v>11</v>
      </c>
      <c r="D783" t="s">
        <v>17</v>
      </c>
      <c r="E783" t="s">
        <v>21</v>
      </c>
      <c r="F783">
        <v>4</v>
      </c>
      <c r="G783" t="s">
        <v>14</v>
      </c>
      <c r="H783">
        <v>2.2999999999999998</v>
      </c>
      <c r="I783">
        <v>1.3</v>
      </c>
      <c r="J783">
        <v>12</v>
      </c>
      <c r="K783" t="s">
        <v>19</v>
      </c>
      <c r="L783">
        <v>1</v>
      </c>
      <c r="M783" t="s">
        <v>31</v>
      </c>
      <c r="N783" t="s">
        <v>35</v>
      </c>
      <c r="O783">
        <v>1</v>
      </c>
    </row>
    <row r="784" spans="1:15" x14ac:dyDescent="0.2">
      <c r="A784" t="s">
        <v>817</v>
      </c>
      <c r="B784" s="1">
        <v>46054.458333333336</v>
      </c>
      <c r="C784" t="s">
        <v>11</v>
      </c>
      <c r="D784" t="s">
        <v>16</v>
      </c>
      <c r="E784" t="s">
        <v>18</v>
      </c>
      <c r="F784">
        <v>1</v>
      </c>
      <c r="G784" t="s">
        <v>24</v>
      </c>
      <c r="H784">
        <v>5.0999999999999996</v>
      </c>
      <c r="I784">
        <v>17.2</v>
      </c>
      <c r="J784">
        <v>11</v>
      </c>
      <c r="K784" t="s">
        <v>15</v>
      </c>
      <c r="L784">
        <v>0</v>
      </c>
      <c r="M784" t="s">
        <v>31</v>
      </c>
      <c r="N784" t="s">
        <v>32</v>
      </c>
      <c r="O784">
        <v>1</v>
      </c>
    </row>
    <row r="785" spans="1:15" x14ac:dyDescent="0.2">
      <c r="A785" t="s">
        <v>818</v>
      </c>
      <c r="B785" s="1">
        <v>46024.708333333336</v>
      </c>
      <c r="C785" t="s">
        <v>11</v>
      </c>
      <c r="D785" t="s">
        <v>16</v>
      </c>
      <c r="E785" t="s">
        <v>21</v>
      </c>
      <c r="F785">
        <v>5</v>
      </c>
      <c r="G785" t="s">
        <v>14</v>
      </c>
      <c r="H785">
        <v>7.3</v>
      </c>
      <c r="I785">
        <v>10.9</v>
      </c>
      <c r="J785">
        <v>9</v>
      </c>
      <c r="K785" t="s">
        <v>15</v>
      </c>
      <c r="L785">
        <v>0</v>
      </c>
      <c r="M785" t="s">
        <v>31</v>
      </c>
      <c r="N785" t="s">
        <v>32</v>
      </c>
      <c r="O785">
        <v>1</v>
      </c>
    </row>
    <row r="786" spans="1:15" x14ac:dyDescent="0.2">
      <c r="A786" t="s">
        <v>819</v>
      </c>
      <c r="B786" s="1">
        <v>46029.583333333336</v>
      </c>
      <c r="C786" t="s">
        <v>20</v>
      </c>
      <c r="D786" t="s">
        <v>16</v>
      </c>
      <c r="E786" t="s">
        <v>21</v>
      </c>
      <c r="F786">
        <v>5</v>
      </c>
      <c r="G786" t="s">
        <v>14</v>
      </c>
      <c r="H786">
        <v>2.7</v>
      </c>
      <c r="I786">
        <v>13.2</v>
      </c>
      <c r="J786">
        <v>9</v>
      </c>
      <c r="K786" t="s">
        <v>19</v>
      </c>
      <c r="L786">
        <v>1</v>
      </c>
      <c r="M786" t="s">
        <v>31</v>
      </c>
      <c r="N786" t="s">
        <v>35</v>
      </c>
      <c r="O786">
        <v>1</v>
      </c>
    </row>
    <row r="787" spans="1:15" x14ac:dyDescent="0.2">
      <c r="A787" t="s">
        <v>820</v>
      </c>
      <c r="B787" s="1">
        <v>46023.5</v>
      </c>
      <c r="C787" t="s">
        <v>11</v>
      </c>
      <c r="D787" t="s">
        <v>17</v>
      </c>
      <c r="E787" t="s">
        <v>13</v>
      </c>
      <c r="F787">
        <v>2</v>
      </c>
      <c r="G787" t="s">
        <v>24</v>
      </c>
      <c r="H787">
        <v>0.1</v>
      </c>
      <c r="I787">
        <v>6.7</v>
      </c>
      <c r="J787">
        <v>11</v>
      </c>
      <c r="K787" t="s">
        <v>19</v>
      </c>
      <c r="L787">
        <v>1</v>
      </c>
      <c r="M787" t="s">
        <v>31</v>
      </c>
      <c r="N787" t="s">
        <v>41</v>
      </c>
      <c r="O787">
        <v>1</v>
      </c>
    </row>
    <row r="788" spans="1:15" x14ac:dyDescent="0.2">
      <c r="A788" t="s">
        <v>821</v>
      </c>
      <c r="B788" s="1">
        <v>46028.041666666664</v>
      </c>
      <c r="C788" t="s">
        <v>11</v>
      </c>
      <c r="D788" t="s">
        <v>16</v>
      </c>
      <c r="E788" t="s">
        <v>18</v>
      </c>
      <c r="F788">
        <v>5</v>
      </c>
      <c r="G788" t="s">
        <v>14</v>
      </c>
      <c r="H788">
        <v>3.2</v>
      </c>
      <c r="I788">
        <v>26.5</v>
      </c>
      <c r="J788">
        <v>9</v>
      </c>
      <c r="K788" t="s">
        <v>19</v>
      </c>
      <c r="L788">
        <v>1</v>
      </c>
      <c r="M788" t="s">
        <v>55</v>
      </c>
      <c r="N788" t="s">
        <v>35</v>
      </c>
      <c r="O788">
        <v>1</v>
      </c>
    </row>
    <row r="789" spans="1:15" x14ac:dyDescent="0.2">
      <c r="A789" t="s">
        <v>822</v>
      </c>
      <c r="B789" s="1">
        <v>46069.583333333336</v>
      </c>
      <c r="C789" t="s">
        <v>11</v>
      </c>
      <c r="D789" t="s">
        <v>16</v>
      </c>
      <c r="E789" t="s">
        <v>13</v>
      </c>
      <c r="F789">
        <v>4</v>
      </c>
      <c r="G789" t="s">
        <v>14</v>
      </c>
      <c r="H789">
        <v>6.5</v>
      </c>
      <c r="I789">
        <v>20.8</v>
      </c>
      <c r="J789">
        <v>10</v>
      </c>
      <c r="K789" t="s">
        <v>15</v>
      </c>
      <c r="L789">
        <v>0</v>
      </c>
      <c r="M789" t="s">
        <v>31</v>
      </c>
      <c r="N789" t="s">
        <v>32</v>
      </c>
      <c r="O789">
        <v>1</v>
      </c>
    </row>
    <row r="790" spans="1:15" x14ac:dyDescent="0.2">
      <c r="A790" t="s">
        <v>823</v>
      </c>
      <c r="B790" s="1">
        <v>46027.583333333336</v>
      </c>
      <c r="C790" t="s">
        <v>11</v>
      </c>
      <c r="D790" t="s">
        <v>12</v>
      </c>
      <c r="E790" t="s">
        <v>18</v>
      </c>
      <c r="F790">
        <v>2</v>
      </c>
      <c r="G790" t="s">
        <v>24</v>
      </c>
      <c r="H790">
        <v>5.5</v>
      </c>
      <c r="I790">
        <v>6.6</v>
      </c>
      <c r="J790">
        <v>11</v>
      </c>
      <c r="K790" t="s">
        <v>15</v>
      </c>
      <c r="L790">
        <v>0</v>
      </c>
      <c r="M790" t="s">
        <v>31</v>
      </c>
      <c r="N790" t="s">
        <v>32</v>
      </c>
      <c r="O790">
        <v>1</v>
      </c>
    </row>
    <row r="791" spans="1:15" x14ac:dyDescent="0.2">
      <c r="A791" t="s">
        <v>824</v>
      </c>
      <c r="B791" s="1">
        <v>45996.666666666664</v>
      </c>
      <c r="C791" t="s">
        <v>11</v>
      </c>
      <c r="D791" t="s">
        <v>16</v>
      </c>
      <c r="E791" t="s">
        <v>18</v>
      </c>
      <c r="F791">
        <v>5</v>
      </c>
      <c r="G791" t="s">
        <v>14</v>
      </c>
      <c r="H791">
        <v>5.3</v>
      </c>
      <c r="I791">
        <v>1.8</v>
      </c>
      <c r="J791">
        <v>9</v>
      </c>
      <c r="K791" t="s">
        <v>15</v>
      </c>
      <c r="L791">
        <v>0</v>
      </c>
      <c r="M791" t="s">
        <v>31</v>
      </c>
      <c r="N791" t="s">
        <v>32</v>
      </c>
      <c r="O791">
        <v>1</v>
      </c>
    </row>
    <row r="792" spans="1:15" x14ac:dyDescent="0.2">
      <c r="A792" t="s">
        <v>825</v>
      </c>
      <c r="B792" s="1">
        <v>46034.833333333336</v>
      </c>
      <c r="C792" t="s">
        <v>20</v>
      </c>
      <c r="D792" t="s">
        <v>12</v>
      </c>
      <c r="E792" t="s">
        <v>25</v>
      </c>
      <c r="F792">
        <v>3</v>
      </c>
      <c r="G792" t="s">
        <v>26</v>
      </c>
      <c r="H792">
        <v>3.5</v>
      </c>
      <c r="I792">
        <v>9.4</v>
      </c>
      <c r="J792">
        <v>10</v>
      </c>
      <c r="K792" t="s">
        <v>19</v>
      </c>
      <c r="L792">
        <v>1</v>
      </c>
      <c r="M792" t="s">
        <v>31</v>
      </c>
      <c r="N792" t="s">
        <v>35</v>
      </c>
      <c r="O792">
        <v>1</v>
      </c>
    </row>
    <row r="793" spans="1:15" x14ac:dyDescent="0.2">
      <c r="A793" t="s">
        <v>826</v>
      </c>
      <c r="B793" s="1">
        <v>45994.375</v>
      </c>
      <c r="C793" t="s">
        <v>11</v>
      </c>
      <c r="D793" t="s">
        <v>16</v>
      </c>
      <c r="E793" t="s">
        <v>18</v>
      </c>
      <c r="F793">
        <v>2</v>
      </c>
      <c r="G793" t="s">
        <v>24</v>
      </c>
      <c r="H793">
        <v>1</v>
      </c>
      <c r="I793">
        <v>16</v>
      </c>
      <c r="J793">
        <v>10</v>
      </c>
      <c r="K793" t="s">
        <v>19</v>
      </c>
      <c r="L793">
        <v>1</v>
      </c>
      <c r="M793" t="s">
        <v>31</v>
      </c>
      <c r="N793" t="s">
        <v>41</v>
      </c>
      <c r="O793">
        <v>1</v>
      </c>
    </row>
    <row r="794" spans="1:15" x14ac:dyDescent="0.2">
      <c r="A794" t="s">
        <v>827</v>
      </c>
      <c r="B794" s="1">
        <v>46073.916666666664</v>
      </c>
      <c r="C794" t="s">
        <v>11</v>
      </c>
      <c r="D794" t="s">
        <v>16</v>
      </c>
      <c r="E794" t="s">
        <v>25</v>
      </c>
      <c r="F794">
        <v>5</v>
      </c>
      <c r="G794" t="s">
        <v>14</v>
      </c>
      <c r="H794">
        <v>5.5</v>
      </c>
      <c r="I794">
        <v>14.4</v>
      </c>
      <c r="J794">
        <v>12</v>
      </c>
      <c r="K794" t="s">
        <v>15</v>
      </c>
      <c r="L794">
        <v>0</v>
      </c>
      <c r="M794" t="s">
        <v>31</v>
      </c>
      <c r="N794" t="s">
        <v>32</v>
      </c>
      <c r="O794">
        <v>1</v>
      </c>
    </row>
    <row r="795" spans="1:15" x14ac:dyDescent="0.2">
      <c r="A795" t="s">
        <v>828</v>
      </c>
      <c r="B795" s="1">
        <v>46071.916666666664</v>
      </c>
      <c r="C795" t="s">
        <v>11</v>
      </c>
      <c r="D795" t="s">
        <v>16</v>
      </c>
      <c r="E795" t="s">
        <v>13</v>
      </c>
      <c r="F795">
        <v>5</v>
      </c>
      <c r="G795" t="s">
        <v>14</v>
      </c>
      <c r="H795">
        <v>2.1</v>
      </c>
      <c r="I795">
        <v>22.5</v>
      </c>
      <c r="J795">
        <v>9</v>
      </c>
      <c r="K795" t="s">
        <v>19</v>
      </c>
      <c r="L795">
        <v>1</v>
      </c>
      <c r="M795" t="s">
        <v>31</v>
      </c>
      <c r="N795" t="s">
        <v>35</v>
      </c>
      <c r="O795">
        <v>1</v>
      </c>
    </row>
    <row r="796" spans="1:15" x14ac:dyDescent="0.2">
      <c r="A796" t="s">
        <v>829</v>
      </c>
      <c r="B796" s="1">
        <v>46026.875</v>
      </c>
      <c r="C796" t="s">
        <v>22</v>
      </c>
      <c r="D796" t="s">
        <v>12</v>
      </c>
      <c r="E796" t="s">
        <v>23</v>
      </c>
      <c r="F796">
        <v>2</v>
      </c>
      <c r="G796" t="s">
        <v>24</v>
      </c>
      <c r="H796">
        <v>9.6999999999999993</v>
      </c>
      <c r="I796">
        <v>18.8</v>
      </c>
      <c r="J796">
        <v>11</v>
      </c>
      <c r="K796" t="s">
        <v>15</v>
      </c>
      <c r="L796">
        <v>0</v>
      </c>
      <c r="M796" t="s">
        <v>31</v>
      </c>
      <c r="N796" t="s">
        <v>32</v>
      </c>
      <c r="O796">
        <v>1</v>
      </c>
    </row>
    <row r="797" spans="1:15" x14ac:dyDescent="0.2">
      <c r="A797" t="s">
        <v>830</v>
      </c>
      <c r="B797" s="1">
        <v>46034.833333333336</v>
      </c>
      <c r="C797" t="s">
        <v>11</v>
      </c>
      <c r="D797" t="s">
        <v>12</v>
      </c>
      <c r="E797" t="s">
        <v>25</v>
      </c>
      <c r="F797">
        <v>5</v>
      </c>
      <c r="G797" t="s">
        <v>14</v>
      </c>
      <c r="H797">
        <v>5.6</v>
      </c>
      <c r="I797">
        <v>20.3</v>
      </c>
      <c r="J797">
        <v>10</v>
      </c>
      <c r="K797" t="s">
        <v>15</v>
      </c>
      <c r="L797">
        <v>0</v>
      </c>
      <c r="M797" t="s">
        <v>31</v>
      </c>
      <c r="N797" t="s">
        <v>32</v>
      </c>
      <c r="O797">
        <v>1</v>
      </c>
    </row>
    <row r="798" spans="1:15" x14ac:dyDescent="0.2">
      <c r="A798" t="s">
        <v>831</v>
      </c>
      <c r="B798" s="1">
        <v>46010.958333333336</v>
      </c>
      <c r="C798" t="s">
        <v>11</v>
      </c>
      <c r="D798" t="s">
        <v>16</v>
      </c>
      <c r="E798" t="s">
        <v>13</v>
      </c>
      <c r="F798">
        <v>4</v>
      </c>
      <c r="G798" t="s">
        <v>14</v>
      </c>
      <c r="H798">
        <v>2.7</v>
      </c>
      <c r="I798">
        <v>15.1</v>
      </c>
      <c r="J798">
        <v>10</v>
      </c>
      <c r="K798" t="s">
        <v>19</v>
      </c>
      <c r="L798">
        <v>1</v>
      </c>
      <c r="M798" t="s">
        <v>31</v>
      </c>
      <c r="N798" t="s">
        <v>35</v>
      </c>
      <c r="O798">
        <v>1</v>
      </c>
    </row>
    <row r="799" spans="1:15" x14ac:dyDescent="0.2">
      <c r="A799" t="s">
        <v>832</v>
      </c>
      <c r="B799" s="1">
        <v>46006.291666666664</v>
      </c>
      <c r="C799" t="s">
        <v>11</v>
      </c>
      <c r="D799" t="s">
        <v>12</v>
      </c>
      <c r="E799" t="s">
        <v>25</v>
      </c>
      <c r="F799">
        <v>2</v>
      </c>
      <c r="G799" t="s">
        <v>24</v>
      </c>
      <c r="H799">
        <v>2.7</v>
      </c>
      <c r="I799">
        <v>1.4</v>
      </c>
      <c r="J799">
        <v>12</v>
      </c>
      <c r="K799" t="s">
        <v>19</v>
      </c>
      <c r="L799">
        <v>1</v>
      </c>
      <c r="M799" t="s">
        <v>31</v>
      </c>
      <c r="N799" t="s">
        <v>35</v>
      </c>
      <c r="O799">
        <v>1</v>
      </c>
    </row>
    <row r="800" spans="1:15" x14ac:dyDescent="0.2">
      <c r="A800" t="s">
        <v>833</v>
      </c>
      <c r="B800" s="1">
        <v>46010.583333333336</v>
      </c>
      <c r="C800" t="s">
        <v>11</v>
      </c>
      <c r="D800" t="s">
        <v>12</v>
      </c>
      <c r="E800" t="s">
        <v>18</v>
      </c>
      <c r="F800">
        <v>3</v>
      </c>
      <c r="G800" t="s">
        <v>26</v>
      </c>
      <c r="H800">
        <v>4</v>
      </c>
      <c r="I800">
        <v>10.9</v>
      </c>
      <c r="J800">
        <v>11</v>
      </c>
      <c r="K800" t="s">
        <v>15</v>
      </c>
      <c r="L800">
        <v>0</v>
      </c>
      <c r="M800" t="s">
        <v>31</v>
      </c>
      <c r="N800" t="s">
        <v>35</v>
      </c>
      <c r="O800">
        <v>1</v>
      </c>
    </row>
    <row r="801" spans="1:15" x14ac:dyDescent="0.2">
      <c r="A801" t="s">
        <v>834</v>
      </c>
      <c r="B801" s="1">
        <v>45996.875</v>
      </c>
      <c r="C801" t="s">
        <v>11</v>
      </c>
      <c r="D801" t="s">
        <v>12</v>
      </c>
      <c r="E801" t="s">
        <v>13</v>
      </c>
      <c r="F801">
        <v>5</v>
      </c>
      <c r="G801" t="s">
        <v>14</v>
      </c>
      <c r="H801">
        <v>3.6</v>
      </c>
      <c r="I801">
        <v>21</v>
      </c>
      <c r="J801">
        <v>12</v>
      </c>
      <c r="K801" t="s">
        <v>19</v>
      </c>
      <c r="L801">
        <v>1</v>
      </c>
      <c r="M801" t="s">
        <v>31</v>
      </c>
      <c r="N801" t="s">
        <v>35</v>
      </c>
      <c r="O801">
        <v>1</v>
      </c>
    </row>
    <row r="802" spans="1:15" x14ac:dyDescent="0.2">
      <c r="A802" t="s">
        <v>835</v>
      </c>
      <c r="B802" s="1">
        <v>46029.541666666664</v>
      </c>
      <c r="C802" t="s">
        <v>11</v>
      </c>
      <c r="D802" t="s">
        <v>17</v>
      </c>
      <c r="E802" t="s">
        <v>21</v>
      </c>
      <c r="F802">
        <v>4</v>
      </c>
      <c r="G802" t="s">
        <v>14</v>
      </c>
      <c r="H802">
        <v>7</v>
      </c>
      <c r="I802">
        <v>12.1</v>
      </c>
      <c r="J802">
        <v>10</v>
      </c>
      <c r="K802" t="s">
        <v>15</v>
      </c>
      <c r="L802">
        <v>0</v>
      </c>
      <c r="M802" t="s">
        <v>31</v>
      </c>
      <c r="N802" t="s">
        <v>32</v>
      </c>
      <c r="O802">
        <v>1</v>
      </c>
    </row>
    <row r="803" spans="1:15" x14ac:dyDescent="0.2">
      <c r="A803" t="s">
        <v>836</v>
      </c>
      <c r="B803" s="1">
        <v>45996.458333333336</v>
      </c>
      <c r="C803" t="s">
        <v>20</v>
      </c>
      <c r="D803" t="s">
        <v>16</v>
      </c>
      <c r="E803" t="s">
        <v>18</v>
      </c>
      <c r="F803">
        <v>5</v>
      </c>
      <c r="G803" t="s">
        <v>14</v>
      </c>
      <c r="H803">
        <v>4.7</v>
      </c>
      <c r="I803">
        <v>16.5</v>
      </c>
      <c r="J803">
        <v>9</v>
      </c>
      <c r="K803" t="s">
        <v>15</v>
      </c>
      <c r="L803">
        <v>0</v>
      </c>
      <c r="M803" t="s">
        <v>31</v>
      </c>
      <c r="N803" t="s">
        <v>32</v>
      </c>
      <c r="O803">
        <v>1</v>
      </c>
    </row>
    <row r="804" spans="1:15" x14ac:dyDescent="0.2">
      <c r="A804" t="s">
        <v>837</v>
      </c>
      <c r="B804" s="1">
        <v>46075.625</v>
      </c>
      <c r="C804" t="s">
        <v>11</v>
      </c>
      <c r="D804" t="s">
        <v>12</v>
      </c>
      <c r="E804" t="s">
        <v>18</v>
      </c>
      <c r="F804">
        <v>5</v>
      </c>
      <c r="G804" t="s">
        <v>14</v>
      </c>
      <c r="H804">
        <v>2.4</v>
      </c>
      <c r="I804">
        <v>10</v>
      </c>
      <c r="J804">
        <v>11</v>
      </c>
      <c r="K804" t="s">
        <v>19</v>
      </c>
      <c r="L804">
        <v>1</v>
      </c>
      <c r="M804" t="s">
        <v>31</v>
      </c>
      <c r="N804" t="s">
        <v>35</v>
      </c>
      <c r="O804">
        <v>1</v>
      </c>
    </row>
    <row r="805" spans="1:15" x14ac:dyDescent="0.2">
      <c r="A805" t="s">
        <v>838</v>
      </c>
      <c r="B805" s="1">
        <v>46005.625</v>
      </c>
      <c r="C805" t="s">
        <v>11</v>
      </c>
      <c r="D805" t="s">
        <v>12</v>
      </c>
      <c r="E805" t="s">
        <v>18</v>
      </c>
      <c r="F805">
        <v>5</v>
      </c>
      <c r="G805" t="s">
        <v>14</v>
      </c>
      <c r="H805">
        <v>8.9</v>
      </c>
      <c r="I805">
        <v>4.3</v>
      </c>
      <c r="J805">
        <v>9</v>
      </c>
      <c r="K805" t="s">
        <v>15</v>
      </c>
      <c r="L805">
        <v>0</v>
      </c>
      <c r="M805" t="s">
        <v>31</v>
      </c>
      <c r="N805" t="s">
        <v>32</v>
      </c>
      <c r="O805">
        <v>1</v>
      </c>
    </row>
    <row r="806" spans="1:15" x14ac:dyDescent="0.2">
      <c r="A806" t="s">
        <v>839</v>
      </c>
      <c r="B806" s="1">
        <v>46036.875</v>
      </c>
      <c r="C806" t="s">
        <v>11</v>
      </c>
      <c r="D806" t="s">
        <v>12</v>
      </c>
      <c r="E806" t="s">
        <v>23</v>
      </c>
      <c r="F806">
        <v>4</v>
      </c>
      <c r="G806" t="s">
        <v>14</v>
      </c>
      <c r="H806">
        <v>4.3</v>
      </c>
      <c r="I806">
        <v>11.5</v>
      </c>
      <c r="J806">
        <v>9</v>
      </c>
      <c r="K806" t="s">
        <v>15</v>
      </c>
      <c r="L806">
        <v>0</v>
      </c>
      <c r="M806" t="s">
        <v>31</v>
      </c>
      <c r="N806" t="s">
        <v>32</v>
      </c>
      <c r="O806">
        <v>1</v>
      </c>
    </row>
    <row r="807" spans="1:15" x14ac:dyDescent="0.2">
      <c r="A807" t="s">
        <v>840</v>
      </c>
      <c r="B807" s="1">
        <v>46008.333333333336</v>
      </c>
      <c r="C807" t="s">
        <v>11</v>
      </c>
      <c r="D807" t="s">
        <v>17</v>
      </c>
      <c r="E807" t="s">
        <v>18</v>
      </c>
      <c r="F807">
        <v>5</v>
      </c>
      <c r="G807" t="s">
        <v>14</v>
      </c>
      <c r="H807">
        <v>6.1</v>
      </c>
      <c r="I807">
        <v>15</v>
      </c>
      <c r="J807">
        <v>12</v>
      </c>
      <c r="K807" t="s">
        <v>15</v>
      </c>
      <c r="L807">
        <v>0</v>
      </c>
      <c r="M807" t="s">
        <v>31</v>
      </c>
      <c r="N807" t="s">
        <v>32</v>
      </c>
      <c r="O807">
        <v>1</v>
      </c>
    </row>
    <row r="808" spans="1:15" x14ac:dyDescent="0.2">
      <c r="A808" t="s">
        <v>841</v>
      </c>
      <c r="B808" s="1">
        <v>46054.833333333336</v>
      </c>
      <c r="C808" t="s">
        <v>11</v>
      </c>
      <c r="D808" t="s">
        <v>16</v>
      </c>
      <c r="E808" t="s">
        <v>21</v>
      </c>
      <c r="F808">
        <v>4</v>
      </c>
      <c r="G808" t="s">
        <v>14</v>
      </c>
      <c r="H808">
        <v>2.7</v>
      </c>
      <c r="I808">
        <v>7.3</v>
      </c>
      <c r="J808">
        <v>10</v>
      </c>
      <c r="K808" t="s">
        <v>19</v>
      </c>
      <c r="L808">
        <v>1</v>
      </c>
      <c r="M808" t="s">
        <v>31</v>
      </c>
      <c r="N808" t="s">
        <v>35</v>
      </c>
      <c r="O808">
        <v>1</v>
      </c>
    </row>
    <row r="809" spans="1:15" x14ac:dyDescent="0.2">
      <c r="A809" t="s">
        <v>842</v>
      </c>
      <c r="B809" s="1">
        <v>45997.375</v>
      </c>
      <c r="C809" t="s">
        <v>11</v>
      </c>
      <c r="D809" t="s">
        <v>12</v>
      </c>
      <c r="E809" t="s">
        <v>13</v>
      </c>
      <c r="F809">
        <v>4</v>
      </c>
      <c r="G809" t="s">
        <v>14</v>
      </c>
      <c r="H809">
        <v>5.0999999999999996</v>
      </c>
      <c r="I809">
        <v>10.6</v>
      </c>
      <c r="J809">
        <v>9</v>
      </c>
      <c r="K809" t="s">
        <v>15</v>
      </c>
      <c r="L809">
        <v>0</v>
      </c>
      <c r="M809" t="s">
        <v>31</v>
      </c>
      <c r="N809" t="s">
        <v>32</v>
      </c>
      <c r="O809">
        <v>1</v>
      </c>
    </row>
    <row r="810" spans="1:15" x14ac:dyDescent="0.2">
      <c r="A810" t="s">
        <v>843</v>
      </c>
      <c r="B810" s="1">
        <v>46053.875</v>
      </c>
      <c r="C810" t="s">
        <v>11</v>
      </c>
      <c r="D810" t="s">
        <v>12</v>
      </c>
      <c r="E810" t="s">
        <v>23</v>
      </c>
      <c r="F810">
        <v>2</v>
      </c>
      <c r="G810" t="s">
        <v>24</v>
      </c>
      <c r="H810">
        <v>5</v>
      </c>
      <c r="I810">
        <v>5</v>
      </c>
      <c r="J810">
        <v>11</v>
      </c>
      <c r="K810" t="s">
        <v>15</v>
      </c>
      <c r="L810">
        <v>0</v>
      </c>
      <c r="M810" t="s">
        <v>31</v>
      </c>
      <c r="N810" t="s">
        <v>32</v>
      </c>
      <c r="O810">
        <v>1</v>
      </c>
    </row>
    <row r="811" spans="1:15" x14ac:dyDescent="0.2">
      <c r="A811" t="s">
        <v>844</v>
      </c>
      <c r="B811" s="1">
        <v>46037.291666666664</v>
      </c>
      <c r="C811" t="s">
        <v>20</v>
      </c>
      <c r="D811" t="s">
        <v>12</v>
      </c>
      <c r="E811" t="s">
        <v>25</v>
      </c>
      <c r="F811">
        <v>2</v>
      </c>
      <c r="G811" t="s">
        <v>24</v>
      </c>
      <c r="H811">
        <v>0.1</v>
      </c>
      <c r="I811">
        <v>21.5</v>
      </c>
      <c r="J811">
        <v>12</v>
      </c>
      <c r="K811" t="s">
        <v>19</v>
      </c>
      <c r="L811">
        <v>1</v>
      </c>
      <c r="M811" t="s">
        <v>31</v>
      </c>
      <c r="N811" t="s">
        <v>41</v>
      </c>
      <c r="O811">
        <v>1</v>
      </c>
    </row>
    <row r="812" spans="1:15" x14ac:dyDescent="0.2">
      <c r="A812" t="s">
        <v>845</v>
      </c>
      <c r="B812" s="1">
        <v>46034.875</v>
      </c>
      <c r="C812" t="s">
        <v>11</v>
      </c>
      <c r="D812" t="s">
        <v>16</v>
      </c>
      <c r="E812" t="s">
        <v>13</v>
      </c>
      <c r="F812">
        <v>5</v>
      </c>
      <c r="G812" t="s">
        <v>14</v>
      </c>
      <c r="H812">
        <v>9.1999999999999993</v>
      </c>
      <c r="I812">
        <v>10.1</v>
      </c>
      <c r="J812">
        <v>11</v>
      </c>
      <c r="K812" t="s">
        <v>15</v>
      </c>
      <c r="L812">
        <v>0</v>
      </c>
      <c r="M812" t="s">
        <v>31</v>
      </c>
      <c r="N812" t="s">
        <v>32</v>
      </c>
      <c r="O812">
        <v>1</v>
      </c>
    </row>
    <row r="813" spans="1:15" x14ac:dyDescent="0.2">
      <c r="A813" t="s">
        <v>846</v>
      </c>
      <c r="B813" s="1">
        <v>46046.25</v>
      </c>
      <c r="C813" t="s">
        <v>11</v>
      </c>
      <c r="D813" t="s">
        <v>17</v>
      </c>
      <c r="E813" t="s">
        <v>25</v>
      </c>
      <c r="F813">
        <v>4</v>
      </c>
      <c r="G813" t="s">
        <v>14</v>
      </c>
      <c r="H813">
        <v>7.4</v>
      </c>
      <c r="I813">
        <v>24.1</v>
      </c>
      <c r="J813">
        <v>9</v>
      </c>
      <c r="K813" t="s">
        <v>15</v>
      </c>
      <c r="L813">
        <v>0</v>
      </c>
      <c r="M813" t="s">
        <v>55</v>
      </c>
      <c r="N813" t="s">
        <v>32</v>
      </c>
      <c r="O813">
        <v>1</v>
      </c>
    </row>
    <row r="814" spans="1:15" x14ac:dyDescent="0.2">
      <c r="A814" t="s">
        <v>847</v>
      </c>
      <c r="B814" s="1">
        <v>46053.458333333336</v>
      </c>
      <c r="C814" t="s">
        <v>20</v>
      </c>
      <c r="D814" t="s">
        <v>12</v>
      </c>
      <c r="E814" t="s">
        <v>25</v>
      </c>
      <c r="F814">
        <v>3</v>
      </c>
      <c r="G814" t="s">
        <v>26</v>
      </c>
      <c r="H814">
        <v>3.2</v>
      </c>
      <c r="I814">
        <v>24.7</v>
      </c>
      <c r="J814">
        <v>11</v>
      </c>
      <c r="K814" t="s">
        <v>19</v>
      </c>
      <c r="L814">
        <v>1</v>
      </c>
      <c r="M814" t="s">
        <v>55</v>
      </c>
      <c r="N814" t="s">
        <v>35</v>
      </c>
      <c r="O814">
        <v>1</v>
      </c>
    </row>
    <row r="815" spans="1:15" x14ac:dyDescent="0.2">
      <c r="A815" t="s">
        <v>848</v>
      </c>
      <c r="B815" s="1">
        <v>46010.208333333336</v>
      </c>
      <c r="C815" t="s">
        <v>11</v>
      </c>
      <c r="D815" t="s">
        <v>12</v>
      </c>
      <c r="E815" t="s">
        <v>13</v>
      </c>
      <c r="F815">
        <v>5</v>
      </c>
      <c r="G815" t="s">
        <v>14</v>
      </c>
      <c r="H815">
        <v>1.4</v>
      </c>
      <c r="I815">
        <v>11.9</v>
      </c>
      <c r="J815">
        <v>12</v>
      </c>
      <c r="K815" t="s">
        <v>19</v>
      </c>
      <c r="L815">
        <v>1</v>
      </c>
      <c r="M815" t="s">
        <v>31</v>
      </c>
      <c r="N815" t="s">
        <v>35</v>
      </c>
      <c r="O815">
        <v>1</v>
      </c>
    </row>
    <row r="816" spans="1:15" x14ac:dyDescent="0.2">
      <c r="A816" t="s">
        <v>849</v>
      </c>
      <c r="B816" s="1">
        <v>46003.125</v>
      </c>
      <c r="C816" t="s">
        <v>11</v>
      </c>
      <c r="D816" t="s">
        <v>12</v>
      </c>
      <c r="E816" t="s">
        <v>25</v>
      </c>
      <c r="F816">
        <v>4</v>
      </c>
      <c r="G816" t="s">
        <v>14</v>
      </c>
      <c r="H816">
        <v>5.0999999999999996</v>
      </c>
      <c r="I816">
        <v>4.4000000000000004</v>
      </c>
      <c r="J816">
        <v>12</v>
      </c>
      <c r="K816" t="s">
        <v>15</v>
      </c>
      <c r="L816">
        <v>0</v>
      </c>
      <c r="M816" t="s">
        <v>31</v>
      </c>
      <c r="N816" t="s">
        <v>32</v>
      </c>
      <c r="O816">
        <v>1</v>
      </c>
    </row>
    <row r="817" spans="1:15" x14ac:dyDescent="0.2">
      <c r="A817" t="s">
        <v>850</v>
      </c>
      <c r="B817" s="1">
        <v>45999.291666666664</v>
      </c>
      <c r="C817" t="s">
        <v>11</v>
      </c>
      <c r="D817" t="s">
        <v>17</v>
      </c>
      <c r="E817" t="s">
        <v>21</v>
      </c>
      <c r="F817">
        <v>5</v>
      </c>
      <c r="G817" t="s">
        <v>14</v>
      </c>
      <c r="H817">
        <v>4.4000000000000004</v>
      </c>
      <c r="I817">
        <v>1</v>
      </c>
      <c r="J817">
        <v>10</v>
      </c>
      <c r="K817" t="s">
        <v>15</v>
      </c>
      <c r="L817">
        <v>0</v>
      </c>
      <c r="M817" t="s">
        <v>31</v>
      </c>
      <c r="N817" t="s">
        <v>32</v>
      </c>
      <c r="O817">
        <v>1</v>
      </c>
    </row>
    <row r="818" spans="1:15" x14ac:dyDescent="0.2">
      <c r="A818" t="s">
        <v>851</v>
      </c>
      <c r="B818" s="1">
        <v>46078.208333333336</v>
      </c>
      <c r="C818" t="s">
        <v>11</v>
      </c>
      <c r="D818" t="s">
        <v>12</v>
      </c>
      <c r="E818" t="s">
        <v>23</v>
      </c>
      <c r="F818">
        <v>4</v>
      </c>
      <c r="G818" t="s">
        <v>14</v>
      </c>
      <c r="H818">
        <v>5.0999999999999996</v>
      </c>
      <c r="I818">
        <v>1</v>
      </c>
      <c r="J818">
        <v>11</v>
      </c>
      <c r="K818" t="s">
        <v>15</v>
      </c>
      <c r="L818">
        <v>0</v>
      </c>
      <c r="M818" t="s">
        <v>31</v>
      </c>
      <c r="N818" t="s">
        <v>32</v>
      </c>
      <c r="O818">
        <v>1</v>
      </c>
    </row>
    <row r="819" spans="1:15" x14ac:dyDescent="0.2">
      <c r="A819" t="s">
        <v>852</v>
      </c>
      <c r="B819" s="1">
        <v>45997.083333333336</v>
      </c>
      <c r="C819" t="s">
        <v>11</v>
      </c>
      <c r="D819" t="s">
        <v>17</v>
      </c>
      <c r="E819" t="s">
        <v>13</v>
      </c>
      <c r="F819">
        <v>5</v>
      </c>
      <c r="G819" t="s">
        <v>14</v>
      </c>
      <c r="H819">
        <v>4.7</v>
      </c>
      <c r="I819">
        <v>1.5</v>
      </c>
      <c r="J819">
        <v>12</v>
      </c>
      <c r="K819" t="s">
        <v>15</v>
      </c>
      <c r="L819">
        <v>0</v>
      </c>
      <c r="M819" t="s">
        <v>31</v>
      </c>
      <c r="N819" t="s">
        <v>32</v>
      </c>
      <c r="O819">
        <v>1</v>
      </c>
    </row>
    <row r="820" spans="1:15" x14ac:dyDescent="0.2">
      <c r="A820" t="s">
        <v>853</v>
      </c>
      <c r="B820" s="1">
        <v>46048</v>
      </c>
      <c r="C820" t="s">
        <v>22</v>
      </c>
      <c r="D820" t="s">
        <v>16</v>
      </c>
      <c r="E820" t="s">
        <v>13</v>
      </c>
      <c r="F820">
        <v>5</v>
      </c>
      <c r="G820" t="s">
        <v>14</v>
      </c>
      <c r="H820">
        <v>5.5</v>
      </c>
      <c r="I820">
        <v>23.5</v>
      </c>
      <c r="J820">
        <v>12</v>
      </c>
      <c r="K820" t="s">
        <v>15</v>
      </c>
      <c r="L820">
        <v>0</v>
      </c>
      <c r="M820" t="s">
        <v>31</v>
      </c>
      <c r="N820" t="s">
        <v>32</v>
      </c>
      <c r="O820">
        <v>1</v>
      </c>
    </row>
    <row r="821" spans="1:15" x14ac:dyDescent="0.2">
      <c r="A821" t="s">
        <v>854</v>
      </c>
      <c r="B821" s="1">
        <v>46058.666666666664</v>
      </c>
      <c r="C821" t="s">
        <v>11</v>
      </c>
      <c r="D821" t="s">
        <v>12</v>
      </c>
      <c r="E821" t="s">
        <v>23</v>
      </c>
      <c r="F821">
        <v>4</v>
      </c>
      <c r="G821" t="s">
        <v>14</v>
      </c>
      <c r="H821">
        <v>7.8</v>
      </c>
      <c r="I821">
        <v>13.4</v>
      </c>
      <c r="J821">
        <v>10</v>
      </c>
      <c r="K821" t="s">
        <v>15</v>
      </c>
      <c r="L821">
        <v>0</v>
      </c>
      <c r="M821" t="s">
        <v>31</v>
      </c>
      <c r="N821" t="s">
        <v>32</v>
      </c>
      <c r="O821">
        <v>1</v>
      </c>
    </row>
    <row r="822" spans="1:15" x14ac:dyDescent="0.2">
      <c r="A822" t="s">
        <v>855</v>
      </c>
      <c r="B822" s="1">
        <v>45992.625</v>
      </c>
      <c r="C822" t="s">
        <v>11</v>
      </c>
      <c r="D822" t="s">
        <v>12</v>
      </c>
      <c r="E822" t="s">
        <v>18</v>
      </c>
      <c r="F822">
        <v>4</v>
      </c>
      <c r="G822" t="s">
        <v>14</v>
      </c>
      <c r="H822">
        <v>5.6</v>
      </c>
      <c r="I822">
        <v>15.6</v>
      </c>
      <c r="J822">
        <v>12</v>
      </c>
      <c r="K822" t="s">
        <v>15</v>
      </c>
      <c r="L822">
        <v>0</v>
      </c>
      <c r="M822" t="s">
        <v>31</v>
      </c>
      <c r="N822" t="s">
        <v>32</v>
      </c>
      <c r="O822">
        <v>1</v>
      </c>
    </row>
    <row r="823" spans="1:15" x14ac:dyDescent="0.2">
      <c r="A823" t="s">
        <v>856</v>
      </c>
      <c r="B823" s="1">
        <v>46038.541666666664</v>
      </c>
      <c r="C823" t="s">
        <v>22</v>
      </c>
      <c r="D823" t="s">
        <v>12</v>
      </c>
      <c r="E823" t="s">
        <v>13</v>
      </c>
      <c r="F823">
        <v>4</v>
      </c>
      <c r="G823" t="s">
        <v>14</v>
      </c>
      <c r="H823">
        <v>1.6</v>
      </c>
      <c r="I823">
        <v>1</v>
      </c>
      <c r="J823">
        <v>9</v>
      </c>
      <c r="K823" t="s">
        <v>19</v>
      </c>
      <c r="L823">
        <v>1</v>
      </c>
      <c r="M823" t="s">
        <v>31</v>
      </c>
      <c r="N823" t="s">
        <v>35</v>
      </c>
      <c r="O823">
        <v>1</v>
      </c>
    </row>
    <row r="824" spans="1:15" x14ac:dyDescent="0.2">
      <c r="A824" t="s">
        <v>857</v>
      </c>
      <c r="B824" s="1">
        <v>46081.791666666664</v>
      </c>
      <c r="C824" t="s">
        <v>11</v>
      </c>
      <c r="D824" t="s">
        <v>16</v>
      </c>
      <c r="E824" t="s">
        <v>25</v>
      </c>
      <c r="F824">
        <v>5</v>
      </c>
      <c r="G824" t="s">
        <v>14</v>
      </c>
      <c r="H824">
        <v>7.6</v>
      </c>
      <c r="I824">
        <v>2.9</v>
      </c>
      <c r="J824">
        <v>11</v>
      </c>
      <c r="K824" t="s">
        <v>15</v>
      </c>
      <c r="L824">
        <v>0</v>
      </c>
      <c r="M824" t="s">
        <v>31</v>
      </c>
      <c r="N824" t="s">
        <v>32</v>
      </c>
      <c r="O824">
        <v>1</v>
      </c>
    </row>
    <row r="825" spans="1:15" x14ac:dyDescent="0.2">
      <c r="A825" t="s">
        <v>858</v>
      </c>
      <c r="B825" s="1">
        <v>46063.25</v>
      </c>
      <c r="C825" t="s">
        <v>11</v>
      </c>
      <c r="D825" t="s">
        <v>17</v>
      </c>
      <c r="E825" t="s">
        <v>13</v>
      </c>
      <c r="F825">
        <v>4</v>
      </c>
      <c r="G825" t="s">
        <v>14</v>
      </c>
      <c r="H825">
        <v>8.3000000000000007</v>
      </c>
      <c r="I825">
        <v>19.600000000000001</v>
      </c>
      <c r="J825">
        <v>10</v>
      </c>
      <c r="K825" t="s">
        <v>15</v>
      </c>
      <c r="L825">
        <v>0</v>
      </c>
      <c r="M825" t="s">
        <v>31</v>
      </c>
      <c r="N825" t="s">
        <v>32</v>
      </c>
      <c r="O825">
        <v>1</v>
      </c>
    </row>
    <row r="826" spans="1:15" x14ac:dyDescent="0.2">
      <c r="A826" t="s">
        <v>859</v>
      </c>
      <c r="B826" s="1">
        <v>45997.5</v>
      </c>
      <c r="C826" t="s">
        <v>11</v>
      </c>
      <c r="D826" t="s">
        <v>16</v>
      </c>
      <c r="E826" t="s">
        <v>23</v>
      </c>
      <c r="F826">
        <v>3</v>
      </c>
      <c r="G826" t="s">
        <v>26</v>
      </c>
      <c r="H826">
        <v>12.1</v>
      </c>
      <c r="I826">
        <v>14.8</v>
      </c>
      <c r="J826">
        <v>9</v>
      </c>
      <c r="K826" t="s">
        <v>15</v>
      </c>
      <c r="L826">
        <v>0</v>
      </c>
      <c r="M826" t="s">
        <v>31</v>
      </c>
      <c r="N826" t="s">
        <v>32</v>
      </c>
      <c r="O826">
        <v>1</v>
      </c>
    </row>
    <row r="827" spans="1:15" x14ac:dyDescent="0.2">
      <c r="A827" t="s">
        <v>860</v>
      </c>
      <c r="B827" s="1">
        <v>46073.833333333336</v>
      </c>
      <c r="C827" t="s">
        <v>11</v>
      </c>
      <c r="D827" t="s">
        <v>16</v>
      </c>
      <c r="E827" t="s">
        <v>21</v>
      </c>
      <c r="F827">
        <v>2</v>
      </c>
      <c r="G827" t="s">
        <v>24</v>
      </c>
      <c r="H827">
        <v>1.4</v>
      </c>
      <c r="I827">
        <v>11.3</v>
      </c>
      <c r="J827">
        <v>9</v>
      </c>
      <c r="K827" t="s">
        <v>19</v>
      </c>
      <c r="L827">
        <v>1</v>
      </c>
      <c r="M827" t="s">
        <v>31</v>
      </c>
      <c r="N827" t="s">
        <v>35</v>
      </c>
      <c r="O827">
        <v>1</v>
      </c>
    </row>
    <row r="828" spans="1:15" x14ac:dyDescent="0.2">
      <c r="A828" t="s">
        <v>861</v>
      </c>
      <c r="B828" s="1">
        <v>46001</v>
      </c>
      <c r="C828" t="s">
        <v>11</v>
      </c>
      <c r="D828" t="s">
        <v>12</v>
      </c>
      <c r="E828" t="s">
        <v>25</v>
      </c>
      <c r="F828">
        <v>4</v>
      </c>
      <c r="G828" t="s">
        <v>14</v>
      </c>
      <c r="H828">
        <v>4.8</v>
      </c>
      <c r="I828">
        <v>17</v>
      </c>
      <c r="J828">
        <v>11</v>
      </c>
      <c r="K828" t="s">
        <v>15</v>
      </c>
      <c r="L828">
        <v>0</v>
      </c>
      <c r="M828" t="s">
        <v>31</v>
      </c>
      <c r="N828" t="s">
        <v>32</v>
      </c>
      <c r="O828">
        <v>1</v>
      </c>
    </row>
    <row r="829" spans="1:15" x14ac:dyDescent="0.2">
      <c r="A829" t="s">
        <v>862</v>
      </c>
      <c r="B829" s="1">
        <v>46070.041666666664</v>
      </c>
      <c r="C829" t="s">
        <v>11</v>
      </c>
      <c r="D829" t="s">
        <v>17</v>
      </c>
      <c r="E829" t="s">
        <v>13</v>
      </c>
      <c r="F829">
        <v>4</v>
      </c>
      <c r="G829" t="s">
        <v>14</v>
      </c>
      <c r="H829">
        <v>0.1</v>
      </c>
      <c r="I829">
        <v>25.6</v>
      </c>
      <c r="J829">
        <v>10</v>
      </c>
      <c r="K829" t="s">
        <v>19</v>
      </c>
      <c r="L829">
        <v>1</v>
      </c>
      <c r="M829" t="s">
        <v>55</v>
      </c>
      <c r="N829" t="s">
        <v>41</v>
      </c>
      <c r="O829">
        <v>1</v>
      </c>
    </row>
    <row r="830" spans="1:15" x14ac:dyDescent="0.2">
      <c r="A830" t="s">
        <v>863</v>
      </c>
      <c r="B830" s="1">
        <v>46014.75</v>
      </c>
      <c r="C830" t="s">
        <v>11</v>
      </c>
      <c r="D830" t="s">
        <v>17</v>
      </c>
      <c r="E830" t="s">
        <v>23</v>
      </c>
      <c r="F830">
        <v>5</v>
      </c>
      <c r="G830" t="s">
        <v>14</v>
      </c>
      <c r="H830">
        <v>5.6</v>
      </c>
      <c r="I830">
        <v>10.7</v>
      </c>
      <c r="J830">
        <v>12</v>
      </c>
      <c r="K830" t="s">
        <v>15</v>
      </c>
      <c r="L830">
        <v>0</v>
      </c>
      <c r="M830" t="s">
        <v>31</v>
      </c>
      <c r="N830" t="s">
        <v>32</v>
      </c>
      <c r="O830">
        <v>1</v>
      </c>
    </row>
    <row r="831" spans="1:15" x14ac:dyDescent="0.2">
      <c r="A831" t="s">
        <v>864</v>
      </c>
      <c r="B831" s="1">
        <v>46033.458333333336</v>
      </c>
      <c r="C831" t="s">
        <v>11</v>
      </c>
      <c r="D831" t="s">
        <v>12</v>
      </c>
      <c r="E831" t="s">
        <v>13</v>
      </c>
      <c r="F831">
        <v>3</v>
      </c>
      <c r="G831" t="s">
        <v>26</v>
      </c>
      <c r="H831">
        <v>2.8</v>
      </c>
      <c r="I831">
        <v>13.1</v>
      </c>
      <c r="J831">
        <v>10</v>
      </c>
      <c r="K831" t="s">
        <v>19</v>
      </c>
      <c r="L831">
        <v>1</v>
      </c>
      <c r="M831" t="s">
        <v>31</v>
      </c>
      <c r="N831" t="s">
        <v>35</v>
      </c>
      <c r="O831">
        <v>1</v>
      </c>
    </row>
    <row r="832" spans="1:15" x14ac:dyDescent="0.2">
      <c r="A832" t="s">
        <v>865</v>
      </c>
      <c r="B832" s="1">
        <v>46023.583333333336</v>
      </c>
      <c r="C832" t="s">
        <v>11</v>
      </c>
      <c r="D832" t="s">
        <v>17</v>
      </c>
      <c r="E832" t="s">
        <v>23</v>
      </c>
      <c r="F832">
        <v>4</v>
      </c>
      <c r="G832" t="s">
        <v>14</v>
      </c>
      <c r="H832">
        <v>9</v>
      </c>
      <c r="I832">
        <v>14</v>
      </c>
      <c r="J832">
        <v>12</v>
      </c>
      <c r="K832" t="s">
        <v>15</v>
      </c>
      <c r="L832">
        <v>0</v>
      </c>
      <c r="M832" t="s">
        <v>31</v>
      </c>
      <c r="N832" t="s">
        <v>32</v>
      </c>
      <c r="O832">
        <v>1</v>
      </c>
    </row>
    <row r="833" spans="1:15" x14ac:dyDescent="0.2">
      <c r="A833" t="s">
        <v>866</v>
      </c>
      <c r="B833" s="1">
        <v>46061.541666666664</v>
      </c>
      <c r="C833" t="s">
        <v>11</v>
      </c>
      <c r="D833" t="s">
        <v>16</v>
      </c>
      <c r="E833" t="s">
        <v>25</v>
      </c>
      <c r="F833">
        <v>5</v>
      </c>
      <c r="G833" t="s">
        <v>14</v>
      </c>
      <c r="H833">
        <v>2.2999999999999998</v>
      </c>
      <c r="I833">
        <v>31.6</v>
      </c>
      <c r="J833">
        <v>11</v>
      </c>
      <c r="K833" t="s">
        <v>19</v>
      </c>
      <c r="L833">
        <v>1</v>
      </c>
      <c r="M833" t="s">
        <v>55</v>
      </c>
      <c r="N833" t="s">
        <v>35</v>
      </c>
      <c r="O833">
        <v>1</v>
      </c>
    </row>
    <row r="834" spans="1:15" x14ac:dyDescent="0.2">
      <c r="A834" t="s">
        <v>867</v>
      </c>
      <c r="B834" s="1">
        <v>46042.041666666664</v>
      </c>
      <c r="C834" t="s">
        <v>20</v>
      </c>
      <c r="D834" t="s">
        <v>16</v>
      </c>
      <c r="E834" t="s">
        <v>13</v>
      </c>
      <c r="F834">
        <v>5</v>
      </c>
      <c r="G834" t="s">
        <v>14</v>
      </c>
      <c r="H834">
        <v>0.1</v>
      </c>
      <c r="I834">
        <v>1</v>
      </c>
      <c r="J834">
        <v>11</v>
      </c>
      <c r="K834" t="s">
        <v>19</v>
      </c>
      <c r="L834">
        <v>1</v>
      </c>
      <c r="M834" t="s">
        <v>31</v>
      </c>
      <c r="N834" t="s">
        <v>41</v>
      </c>
      <c r="O834">
        <v>1</v>
      </c>
    </row>
    <row r="835" spans="1:15" x14ac:dyDescent="0.2">
      <c r="A835" t="s">
        <v>868</v>
      </c>
      <c r="B835" s="1">
        <v>46040.25</v>
      </c>
      <c r="C835" t="s">
        <v>20</v>
      </c>
      <c r="D835" t="s">
        <v>16</v>
      </c>
      <c r="E835" t="s">
        <v>13</v>
      </c>
      <c r="F835">
        <v>4</v>
      </c>
      <c r="G835" t="s">
        <v>14</v>
      </c>
      <c r="H835">
        <v>3</v>
      </c>
      <c r="I835">
        <v>18</v>
      </c>
      <c r="J835">
        <v>9</v>
      </c>
      <c r="K835" t="s">
        <v>19</v>
      </c>
      <c r="L835">
        <v>1</v>
      </c>
      <c r="M835" t="s">
        <v>31</v>
      </c>
      <c r="N835" t="s">
        <v>35</v>
      </c>
      <c r="O835">
        <v>1</v>
      </c>
    </row>
    <row r="836" spans="1:15" x14ac:dyDescent="0.2">
      <c r="A836" t="s">
        <v>869</v>
      </c>
      <c r="B836" s="1">
        <v>46005.916666666664</v>
      </c>
      <c r="C836" t="s">
        <v>11</v>
      </c>
      <c r="D836" t="s">
        <v>17</v>
      </c>
      <c r="E836" t="s">
        <v>23</v>
      </c>
      <c r="F836">
        <v>4</v>
      </c>
      <c r="G836" t="s">
        <v>14</v>
      </c>
      <c r="H836">
        <v>0.1</v>
      </c>
      <c r="I836">
        <v>11.6</v>
      </c>
      <c r="J836">
        <v>9</v>
      </c>
      <c r="K836" t="s">
        <v>19</v>
      </c>
      <c r="L836">
        <v>1</v>
      </c>
      <c r="M836" t="s">
        <v>31</v>
      </c>
      <c r="N836" t="s">
        <v>41</v>
      </c>
      <c r="O836">
        <v>1</v>
      </c>
    </row>
    <row r="837" spans="1:15" x14ac:dyDescent="0.2">
      <c r="A837" t="s">
        <v>870</v>
      </c>
      <c r="B837" s="1">
        <v>46075.833333333336</v>
      </c>
      <c r="C837" t="s">
        <v>11</v>
      </c>
      <c r="D837" t="s">
        <v>16</v>
      </c>
      <c r="E837" t="s">
        <v>18</v>
      </c>
      <c r="F837">
        <v>4</v>
      </c>
      <c r="G837" t="s">
        <v>14</v>
      </c>
      <c r="H837">
        <v>6.1</v>
      </c>
      <c r="I837">
        <v>17</v>
      </c>
      <c r="J837">
        <v>9</v>
      </c>
      <c r="K837" t="s">
        <v>15</v>
      </c>
      <c r="L837">
        <v>0</v>
      </c>
      <c r="M837" t="s">
        <v>31</v>
      </c>
      <c r="N837" t="s">
        <v>32</v>
      </c>
      <c r="O837">
        <v>1</v>
      </c>
    </row>
    <row r="838" spans="1:15" x14ac:dyDescent="0.2">
      <c r="A838" t="s">
        <v>871</v>
      </c>
      <c r="B838" s="1">
        <v>46061.208333333336</v>
      </c>
      <c r="C838" t="s">
        <v>11</v>
      </c>
      <c r="D838" t="s">
        <v>12</v>
      </c>
      <c r="E838" t="s">
        <v>18</v>
      </c>
      <c r="F838">
        <v>5</v>
      </c>
      <c r="G838" t="s">
        <v>14</v>
      </c>
      <c r="H838">
        <v>0.1</v>
      </c>
      <c r="I838">
        <v>7.2</v>
      </c>
      <c r="J838">
        <v>11</v>
      </c>
      <c r="K838" t="s">
        <v>19</v>
      </c>
      <c r="L838">
        <v>1</v>
      </c>
      <c r="M838" t="s">
        <v>31</v>
      </c>
      <c r="N838" t="s">
        <v>41</v>
      </c>
      <c r="O838">
        <v>1</v>
      </c>
    </row>
    <row r="839" spans="1:15" x14ac:dyDescent="0.2">
      <c r="A839" t="s">
        <v>872</v>
      </c>
      <c r="B839" s="1">
        <v>46075.125</v>
      </c>
      <c r="C839" t="s">
        <v>11</v>
      </c>
      <c r="D839" t="s">
        <v>12</v>
      </c>
      <c r="E839" t="s">
        <v>13</v>
      </c>
      <c r="F839">
        <v>2</v>
      </c>
      <c r="G839" t="s">
        <v>24</v>
      </c>
      <c r="H839">
        <v>4.3</v>
      </c>
      <c r="I839">
        <v>12.1</v>
      </c>
      <c r="J839">
        <v>12</v>
      </c>
      <c r="K839" t="s">
        <v>15</v>
      </c>
      <c r="L839">
        <v>0</v>
      </c>
      <c r="M839" t="s">
        <v>31</v>
      </c>
      <c r="N839" t="s">
        <v>32</v>
      </c>
      <c r="O839">
        <v>1</v>
      </c>
    </row>
    <row r="840" spans="1:15" x14ac:dyDescent="0.2">
      <c r="A840" t="s">
        <v>873</v>
      </c>
      <c r="B840" s="1">
        <v>46071.666666666664</v>
      </c>
      <c r="C840" t="s">
        <v>11</v>
      </c>
      <c r="D840" t="s">
        <v>17</v>
      </c>
      <c r="E840" t="s">
        <v>21</v>
      </c>
      <c r="F840">
        <v>5</v>
      </c>
      <c r="G840" t="s">
        <v>14</v>
      </c>
      <c r="H840">
        <v>0.1</v>
      </c>
      <c r="I840">
        <v>18.2</v>
      </c>
      <c r="J840">
        <v>11</v>
      </c>
      <c r="K840" t="s">
        <v>19</v>
      </c>
      <c r="L840">
        <v>1</v>
      </c>
      <c r="M840" t="s">
        <v>31</v>
      </c>
      <c r="N840" t="s">
        <v>41</v>
      </c>
      <c r="O840">
        <v>1</v>
      </c>
    </row>
    <row r="841" spans="1:15" x14ac:dyDescent="0.2">
      <c r="A841" t="s">
        <v>874</v>
      </c>
      <c r="B841" s="1">
        <v>46025.125</v>
      </c>
      <c r="C841" t="s">
        <v>11</v>
      </c>
      <c r="D841" t="s">
        <v>12</v>
      </c>
      <c r="E841" t="s">
        <v>23</v>
      </c>
      <c r="F841">
        <v>5</v>
      </c>
      <c r="G841" t="s">
        <v>14</v>
      </c>
      <c r="H841">
        <v>3.4</v>
      </c>
      <c r="I841">
        <v>37.4</v>
      </c>
      <c r="J841">
        <v>11</v>
      </c>
      <c r="K841" t="s">
        <v>19</v>
      </c>
      <c r="L841">
        <v>1</v>
      </c>
      <c r="M841" t="s">
        <v>55</v>
      </c>
      <c r="N841" t="s">
        <v>35</v>
      </c>
      <c r="O841">
        <v>1</v>
      </c>
    </row>
    <row r="842" spans="1:15" x14ac:dyDescent="0.2">
      <c r="A842" t="s">
        <v>875</v>
      </c>
      <c r="B842" s="1">
        <v>46027.375</v>
      </c>
      <c r="C842" t="s">
        <v>22</v>
      </c>
      <c r="D842" t="s">
        <v>12</v>
      </c>
      <c r="E842" t="s">
        <v>23</v>
      </c>
      <c r="F842">
        <v>4</v>
      </c>
      <c r="G842" t="s">
        <v>14</v>
      </c>
      <c r="H842">
        <v>8.3000000000000007</v>
      </c>
      <c r="I842">
        <v>19</v>
      </c>
      <c r="J842">
        <v>9</v>
      </c>
      <c r="K842" t="s">
        <v>15</v>
      </c>
      <c r="L842">
        <v>0</v>
      </c>
      <c r="M842" t="s">
        <v>31</v>
      </c>
      <c r="N842" t="s">
        <v>32</v>
      </c>
      <c r="O842">
        <v>1</v>
      </c>
    </row>
    <row r="843" spans="1:15" x14ac:dyDescent="0.2">
      <c r="A843" t="s">
        <v>876</v>
      </c>
      <c r="B843" s="1">
        <v>46004.416666666664</v>
      </c>
      <c r="C843" t="s">
        <v>11</v>
      </c>
      <c r="D843" t="s">
        <v>16</v>
      </c>
      <c r="E843" t="s">
        <v>21</v>
      </c>
      <c r="F843">
        <v>2</v>
      </c>
      <c r="G843" t="s">
        <v>24</v>
      </c>
      <c r="H843">
        <v>5.0999999999999996</v>
      </c>
      <c r="I843">
        <v>5.7</v>
      </c>
      <c r="J843">
        <v>10</v>
      </c>
      <c r="K843" t="s">
        <v>15</v>
      </c>
      <c r="L843">
        <v>0</v>
      </c>
      <c r="M843" t="s">
        <v>31</v>
      </c>
      <c r="N843" t="s">
        <v>32</v>
      </c>
      <c r="O843">
        <v>1</v>
      </c>
    </row>
    <row r="844" spans="1:15" x14ac:dyDescent="0.2">
      <c r="A844" t="s">
        <v>877</v>
      </c>
      <c r="B844" s="1">
        <v>46028.666666666664</v>
      </c>
      <c r="C844" t="s">
        <v>20</v>
      </c>
      <c r="D844" t="s">
        <v>16</v>
      </c>
      <c r="E844" t="s">
        <v>18</v>
      </c>
      <c r="F844">
        <v>4</v>
      </c>
      <c r="G844" t="s">
        <v>14</v>
      </c>
      <c r="H844">
        <v>2</v>
      </c>
      <c r="I844">
        <v>9.1</v>
      </c>
      <c r="J844">
        <v>9</v>
      </c>
      <c r="K844" t="s">
        <v>19</v>
      </c>
      <c r="L844">
        <v>1</v>
      </c>
      <c r="M844" t="s">
        <v>31</v>
      </c>
      <c r="N844" t="s">
        <v>35</v>
      </c>
      <c r="O844">
        <v>1</v>
      </c>
    </row>
    <row r="845" spans="1:15" x14ac:dyDescent="0.2">
      <c r="A845" t="s">
        <v>878</v>
      </c>
      <c r="B845" s="1">
        <v>46054.333333333336</v>
      </c>
      <c r="C845" t="s">
        <v>11</v>
      </c>
      <c r="D845" t="s">
        <v>16</v>
      </c>
      <c r="E845" t="s">
        <v>18</v>
      </c>
      <c r="F845">
        <v>4</v>
      </c>
      <c r="G845" t="s">
        <v>14</v>
      </c>
      <c r="H845">
        <v>4.0999999999999996</v>
      </c>
      <c r="I845">
        <v>8.9</v>
      </c>
      <c r="J845">
        <v>10</v>
      </c>
      <c r="K845" t="s">
        <v>15</v>
      </c>
      <c r="L845">
        <v>0</v>
      </c>
      <c r="M845" t="s">
        <v>31</v>
      </c>
      <c r="N845" t="s">
        <v>32</v>
      </c>
      <c r="O845">
        <v>1</v>
      </c>
    </row>
    <row r="846" spans="1:15" x14ac:dyDescent="0.2">
      <c r="A846" t="s">
        <v>879</v>
      </c>
      <c r="B846" s="1">
        <v>46067.541666666664</v>
      </c>
      <c r="C846" t="s">
        <v>20</v>
      </c>
      <c r="D846" t="s">
        <v>17</v>
      </c>
      <c r="E846" t="s">
        <v>25</v>
      </c>
      <c r="F846">
        <v>3</v>
      </c>
      <c r="G846" t="s">
        <v>26</v>
      </c>
      <c r="H846">
        <v>4.2</v>
      </c>
      <c r="I846">
        <v>1</v>
      </c>
      <c r="J846">
        <v>12</v>
      </c>
      <c r="K846" t="s">
        <v>15</v>
      </c>
      <c r="L846">
        <v>0</v>
      </c>
      <c r="M846" t="s">
        <v>31</v>
      </c>
      <c r="N846" t="s">
        <v>32</v>
      </c>
      <c r="O846">
        <v>1</v>
      </c>
    </row>
    <row r="847" spans="1:15" x14ac:dyDescent="0.2">
      <c r="A847" t="s">
        <v>880</v>
      </c>
      <c r="B847" s="1">
        <v>46026.875</v>
      </c>
      <c r="C847" t="s">
        <v>11</v>
      </c>
      <c r="D847" t="s">
        <v>12</v>
      </c>
      <c r="E847" t="s">
        <v>23</v>
      </c>
      <c r="F847">
        <v>5</v>
      </c>
      <c r="G847" t="s">
        <v>14</v>
      </c>
      <c r="H847">
        <v>5.4</v>
      </c>
      <c r="I847">
        <v>9.9</v>
      </c>
      <c r="J847">
        <v>12</v>
      </c>
      <c r="K847" t="s">
        <v>15</v>
      </c>
      <c r="L847">
        <v>0</v>
      </c>
      <c r="M847" t="s">
        <v>31</v>
      </c>
      <c r="N847" t="s">
        <v>32</v>
      </c>
      <c r="O847">
        <v>1</v>
      </c>
    </row>
    <row r="848" spans="1:15" x14ac:dyDescent="0.2">
      <c r="A848" t="s">
        <v>881</v>
      </c>
      <c r="B848" s="1">
        <v>46045.125</v>
      </c>
      <c r="C848" t="s">
        <v>20</v>
      </c>
      <c r="D848" t="s">
        <v>12</v>
      </c>
      <c r="E848" t="s">
        <v>21</v>
      </c>
      <c r="F848">
        <v>5</v>
      </c>
      <c r="G848" t="s">
        <v>14</v>
      </c>
      <c r="H848">
        <v>0.8</v>
      </c>
      <c r="I848">
        <v>18.399999999999999</v>
      </c>
      <c r="J848">
        <v>12</v>
      </c>
      <c r="K848" t="s">
        <v>19</v>
      </c>
      <c r="L848">
        <v>1</v>
      </c>
      <c r="M848" t="s">
        <v>31</v>
      </c>
      <c r="N848" t="s">
        <v>41</v>
      </c>
      <c r="O848">
        <v>1</v>
      </c>
    </row>
    <row r="849" spans="1:15" x14ac:dyDescent="0.2">
      <c r="A849" t="s">
        <v>882</v>
      </c>
      <c r="B849" s="1">
        <v>45995.25</v>
      </c>
      <c r="C849" t="s">
        <v>11</v>
      </c>
      <c r="D849" t="s">
        <v>12</v>
      </c>
      <c r="E849" t="s">
        <v>13</v>
      </c>
      <c r="F849">
        <v>5</v>
      </c>
      <c r="G849" t="s">
        <v>14</v>
      </c>
      <c r="H849">
        <v>5.7</v>
      </c>
      <c r="I849">
        <v>2.2999999999999998</v>
      </c>
      <c r="J849">
        <v>9</v>
      </c>
      <c r="K849" t="s">
        <v>15</v>
      </c>
      <c r="L849">
        <v>0</v>
      </c>
      <c r="M849" t="s">
        <v>31</v>
      </c>
      <c r="N849" t="s">
        <v>32</v>
      </c>
      <c r="O849">
        <v>1</v>
      </c>
    </row>
    <row r="850" spans="1:15" x14ac:dyDescent="0.2">
      <c r="A850" t="s">
        <v>883</v>
      </c>
      <c r="B850" s="1">
        <v>46019.333333333336</v>
      </c>
      <c r="C850" t="s">
        <v>11</v>
      </c>
      <c r="D850" t="s">
        <v>17</v>
      </c>
      <c r="E850" t="s">
        <v>25</v>
      </c>
      <c r="F850">
        <v>5</v>
      </c>
      <c r="G850" t="s">
        <v>14</v>
      </c>
      <c r="H850">
        <v>0.1</v>
      </c>
      <c r="I850">
        <v>20.9</v>
      </c>
      <c r="J850">
        <v>9</v>
      </c>
      <c r="K850" t="s">
        <v>19</v>
      </c>
      <c r="L850">
        <v>1</v>
      </c>
      <c r="M850" t="s">
        <v>31</v>
      </c>
      <c r="N850" t="s">
        <v>41</v>
      </c>
      <c r="O850">
        <v>1</v>
      </c>
    </row>
    <row r="851" spans="1:15" x14ac:dyDescent="0.2">
      <c r="A851" t="s">
        <v>884</v>
      </c>
      <c r="B851" s="1">
        <v>45996.625</v>
      </c>
      <c r="C851" t="s">
        <v>11</v>
      </c>
      <c r="D851" t="s">
        <v>16</v>
      </c>
      <c r="E851" t="s">
        <v>23</v>
      </c>
      <c r="F851">
        <v>2</v>
      </c>
      <c r="G851" t="s">
        <v>24</v>
      </c>
      <c r="H851">
        <v>2.6</v>
      </c>
      <c r="I851">
        <v>16.399999999999999</v>
      </c>
      <c r="J851">
        <v>9</v>
      </c>
      <c r="K851" t="s">
        <v>19</v>
      </c>
      <c r="L851">
        <v>1</v>
      </c>
      <c r="M851" t="s">
        <v>31</v>
      </c>
      <c r="N851" t="s">
        <v>35</v>
      </c>
      <c r="O851">
        <v>1</v>
      </c>
    </row>
    <row r="852" spans="1:15" x14ac:dyDescent="0.2">
      <c r="A852" t="s">
        <v>885</v>
      </c>
      <c r="B852" s="1">
        <v>46076.708333333336</v>
      </c>
      <c r="C852" t="s">
        <v>22</v>
      </c>
      <c r="D852" t="s">
        <v>12</v>
      </c>
      <c r="E852" t="s">
        <v>25</v>
      </c>
      <c r="F852">
        <v>4</v>
      </c>
      <c r="G852" t="s">
        <v>14</v>
      </c>
      <c r="H852">
        <v>3</v>
      </c>
      <c r="I852">
        <v>6.6</v>
      </c>
      <c r="J852">
        <v>11</v>
      </c>
      <c r="K852" t="s">
        <v>19</v>
      </c>
      <c r="L852">
        <v>1</v>
      </c>
      <c r="M852" t="s">
        <v>31</v>
      </c>
      <c r="N852" t="s">
        <v>35</v>
      </c>
      <c r="O852">
        <v>1</v>
      </c>
    </row>
    <row r="853" spans="1:15" x14ac:dyDescent="0.2">
      <c r="A853" t="s">
        <v>886</v>
      </c>
      <c r="B853" s="1">
        <v>46031.208333333336</v>
      </c>
      <c r="C853" t="s">
        <v>11</v>
      </c>
      <c r="D853" t="s">
        <v>17</v>
      </c>
      <c r="E853" t="s">
        <v>13</v>
      </c>
      <c r="F853">
        <v>2</v>
      </c>
      <c r="G853" t="s">
        <v>24</v>
      </c>
      <c r="H853">
        <v>5.8</v>
      </c>
      <c r="I853">
        <v>11.4</v>
      </c>
      <c r="J853">
        <v>9</v>
      </c>
      <c r="K853" t="s">
        <v>15</v>
      </c>
      <c r="L853">
        <v>0</v>
      </c>
      <c r="M853" t="s">
        <v>31</v>
      </c>
      <c r="N853" t="s">
        <v>32</v>
      </c>
      <c r="O853">
        <v>1</v>
      </c>
    </row>
    <row r="854" spans="1:15" x14ac:dyDescent="0.2">
      <c r="A854" t="s">
        <v>887</v>
      </c>
      <c r="B854" s="1">
        <v>46075</v>
      </c>
      <c r="C854" t="s">
        <v>11</v>
      </c>
      <c r="D854" t="s">
        <v>17</v>
      </c>
      <c r="E854" t="s">
        <v>13</v>
      </c>
      <c r="F854">
        <v>5</v>
      </c>
      <c r="G854" t="s">
        <v>14</v>
      </c>
      <c r="H854">
        <v>4.3</v>
      </c>
      <c r="I854">
        <v>25.3</v>
      </c>
      <c r="J854">
        <v>11</v>
      </c>
      <c r="K854" t="s">
        <v>15</v>
      </c>
      <c r="L854">
        <v>0</v>
      </c>
      <c r="M854" t="s">
        <v>55</v>
      </c>
      <c r="N854" t="s">
        <v>32</v>
      </c>
      <c r="O854">
        <v>1</v>
      </c>
    </row>
    <row r="855" spans="1:15" x14ac:dyDescent="0.2">
      <c r="A855" t="s">
        <v>888</v>
      </c>
      <c r="B855" s="1">
        <v>46055.625</v>
      </c>
      <c r="C855" t="s">
        <v>11</v>
      </c>
      <c r="D855" t="s">
        <v>17</v>
      </c>
      <c r="E855" t="s">
        <v>18</v>
      </c>
      <c r="F855">
        <v>5</v>
      </c>
      <c r="G855" t="s">
        <v>14</v>
      </c>
      <c r="H855">
        <v>0.7</v>
      </c>
      <c r="I855">
        <v>18.399999999999999</v>
      </c>
      <c r="J855">
        <v>12</v>
      </c>
      <c r="K855" t="s">
        <v>19</v>
      </c>
      <c r="L855">
        <v>1</v>
      </c>
      <c r="M855" t="s">
        <v>31</v>
      </c>
      <c r="N855" t="s">
        <v>41</v>
      </c>
      <c r="O855">
        <v>1</v>
      </c>
    </row>
    <row r="856" spans="1:15" x14ac:dyDescent="0.2">
      <c r="A856" t="s">
        <v>889</v>
      </c>
      <c r="B856" s="1">
        <v>46054.833333333336</v>
      </c>
      <c r="C856" t="s">
        <v>11</v>
      </c>
      <c r="D856" t="s">
        <v>17</v>
      </c>
      <c r="E856" t="s">
        <v>13</v>
      </c>
      <c r="F856">
        <v>5</v>
      </c>
      <c r="G856" t="s">
        <v>14</v>
      </c>
      <c r="H856">
        <v>1.7</v>
      </c>
      <c r="I856">
        <v>12.6</v>
      </c>
      <c r="J856">
        <v>9</v>
      </c>
      <c r="K856" t="s">
        <v>19</v>
      </c>
      <c r="L856">
        <v>1</v>
      </c>
      <c r="M856" t="s">
        <v>31</v>
      </c>
      <c r="N856" t="s">
        <v>35</v>
      </c>
      <c r="O856">
        <v>1</v>
      </c>
    </row>
    <row r="857" spans="1:15" x14ac:dyDescent="0.2">
      <c r="A857" t="s">
        <v>890</v>
      </c>
      <c r="B857" s="1">
        <v>46049.625</v>
      </c>
      <c r="C857" t="s">
        <v>20</v>
      </c>
      <c r="D857" t="s">
        <v>12</v>
      </c>
      <c r="E857" t="s">
        <v>23</v>
      </c>
      <c r="F857">
        <v>2</v>
      </c>
      <c r="G857" t="s">
        <v>24</v>
      </c>
      <c r="H857">
        <v>4.7</v>
      </c>
      <c r="I857">
        <v>10.6</v>
      </c>
      <c r="J857">
        <v>11</v>
      </c>
      <c r="K857" t="s">
        <v>15</v>
      </c>
      <c r="L857">
        <v>0</v>
      </c>
      <c r="M857" t="s">
        <v>31</v>
      </c>
      <c r="N857" t="s">
        <v>32</v>
      </c>
      <c r="O857">
        <v>1</v>
      </c>
    </row>
    <row r="858" spans="1:15" x14ac:dyDescent="0.2">
      <c r="A858" t="s">
        <v>891</v>
      </c>
      <c r="B858" s="1">
        <v>46040.875</v>
      </c>
      <c r="C858" t="s">
        <v>22</v>
      </c>
      <c r="D858" t="s">
        <v>17</v>
      </c>
      <c r="E858" t="s">
        <v>13</v>
      </c>
      <c r="F858">
        <v>4</v>
      </c>
      <c r="G858" t="s">
        <v>14</v>
      </c>
      <c r="H858">
        <v>4</v>
      </c>
      <c r="I858">
        <v>13.1</v>
      </c>
      <c r="J858">
        <v>12</v>
      </c>
      <c r="K858" t="s">
        <v>15</v>
      </c>
      <c r="L858">
        <v>0</v>
      </c>
      <c r="M858" t="s">
        <v>31</v>
      </c>
      <c r="N858" t="s">
        <v>35</v>
      </c>
      <c r="O858">
        <v>1</v>
      </c>
    </row>
    <row r="859" spans="1:15" x14ac:dyDescent="0.2">
      <c r="A859" t="s">
        <v>892</v>
      </c>
      <c r="B859" s="1">
        <v>46081.375</v>
      </c>
      <c r="C859" t="s">
        <v>11</v>
      </c>
      <c r="D859" t="s">
        <v>16</v>
      </c>
      <c r="E859" t="s">
        <v>13</v>
      </c>
      <c r="F859">
        <v>5</v>
      </c>
      <c r="G859" t="s">
        <v>14</v>
      </c>
      <c r="H859">
        <v>2.8</v>
      </c>
      <c r="I859">
        <v>8.4</v>
      </c>
      <c r="J859">
        <v>12</v>
      </c>
      <c r="K859" t="s">
        <v>19</v>
      </c>
      <c r="L859">
        <v>1</v>
      </c>
      <c r="M859" t="s">
        <v>31</v>
      </c>
      <c r="N859" t="s">
        <v>35</v>
      </c>
      <c r="O859">
        <v>1</v>
      </c>
    </row>
    <row r="860" spans="1:15" x14ac:dyDescent="0.2">
      <c r="A860" t="s">
        <v>893</v>
      </c>
      <c r="B860" s="1">
        <v>46026.791666666664</v>
      </c>
      <c r="C860" t="s">
        <v>11</v>
      </c>
      <c r="D860" t="s">
        <v>17</v>
      </c>
      <c r="E860" t="s">
        <v>13</v>
      </c>
      <c r="F860">
        <v>4</v>
      </c>
      <c r="G860" t="s">
        <v>14</v>
      </c>
      <c r="H860">
        <v>3</v>
      </c>
      <c r="I860">
        <v>1</v>
      </c>
      <c r="J860">
        <v>9</v>
      </c>
      <c r="K860" t="s">
        <v>19</v>
      </c>
      <c r="L860">
        <v>1</v>
      </c>
      <c r="M860" t="s">
        <v>31</v>
      </c>
      <c r="N860" t="s">
        <v>35</v>
      </c>
      <c r="O860">
        <v>1</v>
      </c>
    </row>
    <row r="861" spans="1:15" x14ac:dyDescent="0.2">
      <c r="A861" t="s">
        <v>894</v>
      </c>
      <c r="B861" s="1">
        <v>46065.5</v>
      </c>
      <c r="C861" t="s">
        <v>22</v>
      </c>
      <c r="D861" t="s">
        <v>16</v>
      </c>
      <c r="E861" t="s">
        <v>13</v>
      </c>
      <c r="F861">
        <v>5</v>
      </c>
      <c r="G861" t="s">
        <v>14</v>
      </c>
      <c r="H861">
        <v>5.9</v>
      </c>
      <c r="I861">
        <v>28.8</v>
      </c>
      <c r="J861">
        <v>10</v>
      </c>
      <c r="K861" t="s">
        <v>15</v>
      </c>
      <c r="L861">
        <v>0</v>
      </c>
      <c r="M861" t="s">
        <v>55</v>
      </c>
      <c r="N861" t="s">
        <v>32</v>
      </c>
      <c r="O861">
        <v>1</v>
      </c>
    </row>
    <row r="862" spans="1:15" x14ac:dyDescent="0.2">
      <c r="A862" t="s">
        <v>895</v>
      </c>
      <c r="B862" s="1">
        <v>46013.083333333336</v>
      </c>
      <c r="C862" t="s">
        <v>11</v>
      </c>
      <c r="D862" t="s">
        <v>17</v>
      </c>
      <c r="E862" t="s">
        <v>21</v>
      </c>
      <c r="F862">
        <v>5</v>
      </c>
      <c r="G862" t="s">
        <v>14</v>
      </c>
      <c r="H862">
        <v>2.9</v>
      </c>
      <c r="I862">
        <v>13.7</v>
      </c>
      <c r="J862">
        <v>10</v>
      </c>
      <c r="K862" t="s">
        <v>19</v>
      </c>
      <c r="L862">
        <v>1</v>
      </c>
      <c r="M862" t="s">
        <v>31</v>
      </c>
      <c r="N862" t="s">
        <v>35</v>
      </c>
      <c r="O862">
        <v>1</v>
      </c>
    </row>
    <row r="863" spans="1:15" x14ac:dyDescent="0.2">
      <c r="A863" t="s">
        <v>896</v>
      </c>
      <c r="B863" s="1">
        <v>46052.333333333336</v>
      </c>
      <c r="C863" t="s">
        <v>11</v>
      </c>
      <c r="D863" t="s">
        <v>16</v>
      </c>
      <c r="E863" t="s">
        <v>13</v>
      </c>
      <c r="F863">
        <v>5</v>
      </c>
      <c r="G863" t="s">
        <v>14</v>
      </c>
      <c r="H863">
        <v>4</v>
      </c>
      <c r="I863">
        <v>15.7</v>
      </c>
      <c r="J863">
        <v>12</v>
      </c>
      <c r="K863" t="s">
        <v>15</v>
      </c>
      <c r="L863">
        <v>0</v>
      </c>
      <c r="M863" t="s">
        <v>31</v>
      </c>
      <c r="N863" t="s">
        <v>35</v>
      </c>
      <c r="O863">
        <v>1</v>
      </c>
    </row>
    <row r="864" spans="1:15" x14ac:dyDescent="0.2">
      <c r="A864" t="s">
        <v>897</v>
      </c>
      <c r="B864" s="1">
        <v>46010.125</v>
      </c>
      <c r="C864" t="s">
        <v>11</v>
      </c>
      <c r="D864" t="s">
        <v>12</v>
      </c>
      <c r="E864" t="s">
        <v>18</v>
      </c>
      <c r="F864">
        <v>4</v>
      </c>
      <c r="G864" t="s">
        <v>14</v>
      </c>
      <c r="H864">
        <v>9.6</v>
      </c>
      <c r="I864">
        <v>12</v>
      </c>
      <c r="J864">
        <v>10</v>
      </c>
      <c r="K864" t="s">
        <v>15</v>
      </c>
      <c r="L864">
        <v>0</v>
      </c>
      <c r="M864" t="s">
        <v>31</v>
      </c>
      <c r="N864" t="s">
        <v>32</v>
      </c>
      <c r="O864">
        <v>1</v>
      </c>
    </row>
    <row r="865" spans="1:15" x14ac:dyDescent="0.2">
      <c r="A865" t="s">
        <v>898</v>
      </c>
      <c r="B865" s="1">
        <v>46036.916666666664</v>
      </c>
      <c r="C865" t="s">
        <v>11</v>
      </c>
      <c r="D865" t="s">
        <v>16</v>
      </c>
      <c r="E865" t="s">
        <v>25</v>
      </c>
      <c r="F865">
        <v>4</v>
      </c>
      <c r="G865" t="s">
        <v>14</v>
      </c>
      <c r="H865">
        <v>0.6</v>
      </c>
      <c r="I865">
        <v>6.6</v>
      </c>
      <c r="J865">
        <v>10</v>
      </c>
      <c r="K865" t="s">
        <v>19</v>
      </c>
      <c r="L865">
        <v>1</v>
      </c>
      <c r="M865" t="s">
        <v>31</v>
      </c>
      <c r="N865" t="s">
        <v>41</v>
      </c>
      <c r="O865">
        <v>1</v>
      </c>
    </row>
    <row r="866" spans="1:15" x14ac:dyDescent="0.2">
      <c r="A866" t="s">
        <v>899</v>
      </c>
      <c r="B866" s="1">
        <v>46031.041666666664</v>
      </c>
      <c r="C866" t="s">
        <v>11</v>
      </c>
      <c r="D866" t="s">
        <v>17</v>
      </c>
      <c r="E866" t="s">
        <v>23</v>
      </c>
      <c r="F866">
        <v>2</v>
      </c>
      <c r="G866" t="s">
        <v>24</v>
      </c>
      <c r="H866">
        <v>0.1</v>
      </c>
      <c r="I866">
        <v>11</v>
      </c>
      <c r="J866">
        <v>11</v>
      </c>
      <c r="K866" t="s">
        <v>19</v>
      </c>
      <c r="L866">
        <v>1</v>
      </c>
      <c r="M866" t="s">
        <v>31</v>
      </c>
      <c r="N866" t="s">
        <v>41</v>
      </c>
      <c r="O866">
        <v>1</v>
      </c>
    </row>
    <row r="867" spans="1:15" x14ac:dyDescent="0.2">
      <c r="A867" t="s">
        <v>900</v>
      </c>
      <c r="B867" s="1">
        <v>46076.458333333336</v>
      </c>
      <c r="C867" t="s">
        <v>11</v>
      </c>
      <c r="D867" t="s">
        <v>17</v>
      </c>
      <c r="E867" t="s">
        <v>25</v>
      </c>
      <c r="F867">
        <v>4</v>
      </c>
      <c r="G867" t="s">
        <v>14</v>
      </c>
      <c r="H867">
        <v>6.2</v>
      </c>
      <c r="I867">
        <v>1</v>
      </c>
      <c r="J867">
        <v>11</v>
      </c>
      <c r="K867" t="s">
        <v>15</v>
      </c>
      <c r="L867">
        <v>0</v>
      </c>
      <c r="M867" t="s">
        <v>31</v>
      </c>
      <c r="N867" t="s">
        <v>32</v>
      </c>
      <c r="O867">
        <v>1</v>
      </c>
    </row>
    <row r="868" spans="1:15" x14ac:dyDescent="0.2">
      <c r="A868" t="s">
        <v>901</v>
      </c>
      <c r="B868" s="1">
        <v>46079.416666666664</v>
      </c>
      <c r="C868" t="s">
        <v>20</v>
      </c>
      <c r="D868" t="s">
        <v>12</v>
      </c>
      <c r="E868" t="s">
        <v>23</v>
      </c>
      <c r="F868">
        <v>4</v>
      </c>
      <c r="G868" t="s">
        <v>14</v>
      </c>
      <c r="H868">
        <v>2.5</v>
      </c>
      <c r="I868">
        <v>30.7</v>
      </c>
      <c r="J868">
        <v>11</v>
      </c>
      <c r="K868" t="s">
        <v>19</v>
      </c>
      <c r="L868">
        <v>1</v>
      </c>
      <c r="M868" t="s">
        <v>55</v>
      </c>
      <c r="N868" t="s">
        <v>35</v>
      </c>
      <c r="O868">
        <v>1</v>
      </c>
    </row>
    <row r="869" spans="1:15" x14ac:dyDescent="0.2">
      <c r="A869" t="s">
        <v>902</v>
      </c>
      <c r="B869" s="1">
        <v>46072.583333333336</v>
      </c>
      <c r="C869" t="s">
        <v>20</v>
      </c>
      <c r="D869" t="s">
        <v>12</v>
      </c>
      <c r="E869" t="s">
        <v>21</v>
      </c>
      <c r="F869">
        <v>5</v>
      </c>
      <c r="G869" t="s">
        <v>14</v>
      </c>
      <c r="H869">
        <v>3.4</v>
      </c>
      <c r="I869">
        <v>2.6</v>
      </c>
      <c r="J869">
        <v>12</v>
      </c>
      <c r="K869" t="s">
        <v>19</v>
      </c>
      <c r="L869">
        <v>1</v>
      </c>
      <c r="M869" t="s">
        <v>31</v>
      </c>
      <c r="N869" t="s">
        <v>35</v>
      </c>
      <c r="O869">
        <v>1</v>
      </c>
    </row>
    <row r="870" spans="1:15" x14ac:dyDescent="0.2">
      <c r="A870" t="s">
        <v>903</v>
      </c>
      <c r="B870" s="1">
        <v>46008.458333333336</v>
      </c>
      <c r="C870" t="s">
        <v>11</v>
      </c>
      <c r="D870" t="s">
        <v>12</v>
      </c>
      <c r="E870" t="s">
        <v>13</v>
      </c>
      <c r="F870">
        <v>5</v>
      </c>
      <c r="G870" t="s">
        <v>14</v>
      </c>
      <c r="H870">
        <v>2.2000000000000002</v>
      </c>
      <c r="I870">
        <v>4.2</v>
      </c>
      <c r="J870">
        <v>10</v>
      </c>
      <c r="K870" t="s">
        <v>19</v>
      </c>
      <c r="L870">
        <v>1</v>
      </c>
      <c r="M870" t="s">
        <v>31</v>
      </c>
      <c r="N870" t="s">
        <v>35</v>
      </c>
      <c r="O870">
        <v>1</v>
      </c>
    </row>
    <row r="871" spans="1:15" x14ac:dyDescent="0.2">
      <c r="A871" t="s">
        <v>904</v>
      </c>
      <c r="B871" s="1">
        <v>46008.5</v>
      </c>
      <c r="C871" t="s">
        <v>11</v>
      </c>
      <c r="D871" t="s">
        <v>16</v>
      </c>
      <c r="E871" t="s">
        <v>23</v>
      </c>
      <c r="F871">
        <v>2</v>
      </c>
      <c r="G871" t="s">
        <v>24</v>
      </c>
      <c r="H871">
        <v>3.6</v>
      </c>
      <c r="I871">
        <v>9</v>
      </c>
      <c r="J871">
        <v>9</v>
      </c>
      <c r="K871" t="s">
        <v>19</v>
      </c>
      <c r="L871">
        <v>1</v>
      </c>
      <c r="M871" t="s">
        <v>31</v>
      </c>
      <c r="N871" t="s">
        <v>35</v>
      </c>
      <c r="O871">
        <v>1</v>
      </c>
    </row>
    <row r="872" spans="1:15" x14ac:dyDescent="0.2">
      <c r="A872" t="s">
        <v>905</v>
      </c>
      <c r="B872" s="1">
        <v>46000.458333333336</v>
      </c>
      <c r="C872" t="s">
        <v>11</v>
      </c>
      <c r="D872" t="s">
        <v>17</v>
      </c>
      <c r="E872" t="s">
        <v>21</v>
      </c>
      <c r="F872">
        <v>4</v>
      </c>
      <c r="G872" t="s">
        <v>14</v>
      </c>
      <c r="H872">
        <v>8.1999999999999993</v>
      </c>
      <c r="I872">
        <v>22.8</v>
      </c>
      <c r="J872">
        <v>10</v>
      </c>
      <c r="K872" t="s">
        <v>15</v>
      </c>
      <c r="L872">
        <v>0</v>
      </c>
      <c r="M872" t="s">
        <v>31</v>
      </c>
      <c r="N872" t="s">
        <v>32</v>
      </c>
      <c r="O872">
        <v>1</v>
      </c>
    </row>
    <row r="873" spans="1:15" x14ac:dyDescent="0.2">
      <c r="A873" t="s">
        <v>906</v>
      </c>
      <c r="B873" s="1">
        <v>46044.875</v>
      </c>
      <c r="C873" t="s">
        <v>11</v>
      </c>
      <c r="D873" t="s">
        <v>12</v>
      </c>
      <c r="E873" t="s">
        <v>18</v>
      </c>
      <c r="F873">
        <v>3</v>
      </c>
      <c r="G873" t="s">
        <v>26</v>
      </c>
      <c r="H873">
        <v>6.2</v>
      </c>
      <c r="I873">
        <v>12.6</v>
      </c>
      <c r="J873">
        <v>12</v>
      </c>
      <c r="K873" t="s">
        <v>15</v>
      </c>
      <c r="L873">
        <v>0</v>
      </c>
      <c r="M873" t="s">
        <v>31</v>
      </c>
      <c r="N873" t="s">
        <v>32</v>
      </c>
      <c r="O873">
        <v>1</v>
      </c>
    </row>
    <row r="874" spans="1:15" x14ac:dyDescent="0.2">
      <c r="A874" t="s">
        <v>907</v>
      </c>
      <c r="B874" s="1">
        <v>46031</v>
      </c>
      <c r="C874" t="s">
        <v>11</v>
      </c>
      <c r="D874" t="s">
        <v>16</v>
      </c>
      <c r="E874" t="s">
        <v>21</v>
      </c>
      <c r="F874">
        <v>3</v>
      </c>
      <c r="G874" t="s">
        <v>26</v>
      </c>
      <c r="H874">
        <v>6.4</v>
      </c>
      <c r="I874">
        <v>2.6</v>
      </c>
      <c r="J874">
        <v>11</v>
      </c>
      <c r="K874" t="s">
        <v>15</v>
      </c>
      <c r="L874">
        <v>0</v>
      </c>
      <c r="M874" t="s">
        <v>31</v>
      </c>
      <c r="N874" t="s">
        <v>32</v>
      </c>
      <c r="O874">
        <v>1</v>
      </c>
    </row>
    <row r="875" spans="1:15" x14ac:dyDescent="0.2">
      <c r="A875" t="s">
        <v>908</v>
      </c>
      <c r="B875" s="1">
        <v>46040.791666666664</v>
      </c>
      <c r="C875" t="s">
        <v>11</v>
      </c>
      <c r="D875" t="s">
        <v>17</v>
      </c>
      <c r="E875" t="s">
        <v>23</v>
      </c>
      <c r="F875">
        <v>5</v>
      </c>
      <c r="G875" t="s">
        <v>14</v>
      </c>
      <c r="H875">
        <v>0.7</v>
      </c>
      <c r="I875">
        <v>22.5</v>
      </c>
      <c r="J875">
        <v>12</v>
      </c>
      <c r="K875" t="s">
        <v>19</v>
      </c>
      <c r="L875">
        <v>1</v>
      </c>
      <c r="M875" t="s">
        <v>31</v>
      </c>
      <c r="N875" t="s">
        <v>41</v>
      </c>
      <c r="O875">
        <v>1</v>
      </c>
    </row>
    <row r="876" spans="1:15" x14ac:dyDescent="0.2">
      <c r="A876" t="s">
        <v>909</v>
      </c>
      <c r="B876" s="1">
        <v>46002.416666666664</v>
      </c>
      <c r="C876" t="s">
        <v>22</v>
      </c>
      <c r="D876" t="s">
        <v>16</v>
      </c>
      <c r="E876" t="s">
        <v>21</v>
      </c>
      <c r="F876">
        <v>2</v>
      </c>
      <c r="G876" t="s">
        <v>24</v>
      </c>
      <c r="H876">
        <v>1.3</v>
      </c>
      <c r="I876">
        <v>18.3</v>
      </c>
      <c r="J876">
        <v>11</v>
      </c>
      <c r="K876" t="s">
        <v>19</v>
      </c>
      <c r="L876">
        <v>1</v>
      </c>
      <c r="M876" t="s">
        <v>31</v>
      </c>
      <c r="N876" t="s">
        <v>35</v>
      </c>
      <c r="O876">
        <v>1</v>
      </c>
    </row>
    <row r="877" spans="1:15" x14ac:dyDescent="0.2">
      <c r="A877" t="s">
        <v>910</v>
      </c>
      <c r="B877" s="1">
        <v>45993.541666666664</v>
      </c>
      <c r="C877" t="s">
        <v>20</v>
      </c>
      <c r="D877" t="s">
        <v>16</v>
      </c>
      <c r="E877" t="s">
        <v>23</v>
      </c>
      <c r="F877">
        <v>4</v>
      </c>
      <c r="G877" t="s">
        <v>14</v>
      </c>
      <c r="H877">
        <v>0.1</v>
      </c>
      <c r="I877">
        <v>16.8</v>
      </c>
      <c r="J877">
        <v>12</v>
      </c>
      <c r="K877" t="s">
        <v>19</v>
      </c>
      <c r="L877">
        <v>1</v>
      </c>
      <c r="M877" t="s">
        <v>31</v>
      </c>
      <c r="N877" t="s">
        <v>41</v>
      </c>
      <c r="O877">
        <v>1</v>
      </c>
    </row>
    <row r="878" spans="1:15" x14ac:dyDescent="0.2">
      <c r="A878" t="s">
        <v>911</v>
      </c>
      <c r="B878" s="1">
        <v>46070.458333333336</v>
      </c>
      <c r="C878" t="s">
        <v>11</v>
      </c>
      <c r="D878" t="s">
        <v>16</v>
      </c>
      <c r="E878" t="s">
        <v>23</v>
      </c>
      <c r="F878">
        <v>3</v>
      </c>
      <c r="G878" t="s">
        <v>26</v>
      </c>
      <c r="H878">
        <v>2.2000000000000002</v>
      </c>
      <c r="I878">
        <v>18.2</v>
      </c>
      <c r="J878">
        <v>9</v>
      </c>
      <c r="K878" t="s">
        <v>19</v>
      </c>
      <c r="L878">
        <v>1</v>
      </c>
      <c r="M878" t="s">
        <v>31</v>
      </c>
      <c r="N878" t="s">
        <v>35</v>
      </c>
      <c r="O878">
        <v>1</v>
      </c>
    </row>
    <row r="879" spans="1:15" x14ac:dyDescent="0.2">
      <c r="A879" t="s">
        <v>912</v>
      </c>
      <c r="B879" s="1">
        <v>46068.708333333336</v>
      </c>
      <c r="C879" t="s">
        <v>11</v>
      </c>
      <c r="D879" t="s">
        <v>16</v>
      </c>
      <c r="E879" t="s">
        <v>13</v>
      </c>
      <c r="F879">
        <v>5</v>
      </c>
      <c r="G879" t="s">
        <v>14</v>
      </c>
      <c r="H879">
        <v>6.6</v>
      </c>
      <c r="I879">
        <v>31.7</v>
      </c>
      <c r="J879">
        <v>11</v>
      </c>
      <c r="K879" t="s">
        <v>15</v>
      </c>
      <c r="L879">
        <v>0</v>
      </c>
      <c r="M879" t="s">
        <v>55</v>
      </c>
      <c r="N879" t="s">
        <v>32</v>
      </c>
      <c r="O879">
        <v>1</v>
      </c>
    </row>
    <row r="880" spans="1:15" x14ac:dyDescent="0.2">
      <c r="A880" t="s">
        <v>913</v>
      </c>
      <c r="B880" s="1">
        <v>46026.25</v>
      </c>
      <c r="C880" t="s">
        <v>22</v>
      </c>
      <c r="D880" t="s">
        <v>12</v>
      </c>
      <c r="E880" t="s">
        <v>25</v>
      </c>
      <c r="F880">
        <v>5</v>
      </c>
      <c r="G880" t="s">
        <v>14</v>
      </c>
      <c r="H880">
        <v>5.5</v>
      </c>
      <c r="I880">
        <v>30</v>
      </c>
      <c r="J880">
        <v>11</v>
      </c>
      <c r="K880" t="s">
        <v>15</v>
      </c>
      <c r="L880">
        <v>0</v>
      </c>
      <c r="M880" t="s">
        <v>55</v>
      </c>
      <c r="N880" t="s">
        <v>32</v>
      </c>
      <c r="O880">
        <v>1</v>
      </c>
    </row>
    <row r="881" spans="1:15" x14ac:dyDescent="0.2">
      <c r="A881" t="s">
        <v>914</v>
      </c>
      <c r="B881" s="1">
        <v>46030.333333333336</v>
      </c>
      <c r="C881" t="s">
        <v>11</v>
      </c>
      <c r="D881" t="s">
        <v>16</v>
      </c>
      <c r="E881" t="s">
        <v>13</v>
      </c>
      <c r="F881">
        <v>3</v>
      </c>
      <c r="G881" t="s">
        <v>26</v>
      </c>
      <c r="H881">
        <v>3.6</v>
      </c>
      <c r="I881">
        <v>7</v>
      </c>
      <c r="J881">
        <v>10</v>
      </c>
      <c r="K881" t="s">
        <v>19</v>
      </c>
      <c r="L881">
        <v>1</v>
      </c>
      <c r="M881" t="s">
        <v>31</v>
      </c>
      <c r="N881" t="s">
        <v>35</v>
      </c>
      <c r="O881">
        <v>1</v>
      </c>
    </row>
    <row r="882" spans="1:15" x14ac:dyDescent="0.2">
      <c r="A882" t="s">
        <v>915</v>
      </c>
      <c r="B882" s="1">
        <v>46071.5</v>
      </c>
      <c r="C882" t="s">
        <v>11</v>
      </c>
      <c r="D882" t="s">
        <v>16</v>
      </c>
      <c r="E882" t="s">
        <v>23</v>
      </c>
      <c r="F882">
        <v>4</v>
      </c>
      <c r="G882" t="s">
        <v>14</v>
      </c>
      <c r="H882">
        <v>4.0999999999999996</v>
      </c>
      <c r="I882">
        <v>25.5</v>
      </c>
      <c r="J882">
        <v>12</v>
      </c>
      <c r="K882" t="s">
        <v>15</v>
      </c>
      <c r="L882">
        <v>0</v>
      </c>
      <c r="M882" t="s">
        <v>55</v>
      </c>
      <c r="N882" t="s">
        <v>32</v>
      </c>
      <c r="O882">
        <v>1</v>
      </c>
    </row>
    <row r="883" spans="1:15" x14ac:dyDescent="0.2">
      <c r="A883" t="s">
        <v>916</v>
      </c>
      <c r="B883" s="1">
        <v>46042.041666666664</v>
      </c>
      <c r="C883" t="s">
        <v>11</v>
      </c>
      <c r="D883" t="s">
        <v>17</v>
      </c>
      <c r="E883" t="s">
        <v>21</v>
      </c>
      <c r="F883">
        <v>5</v>
      </c>
      <c r="G883" t="s">
        <v>14</v>
      </c>
      <c r="H883">
        <v>2.5</v>
      </c>
      <c r="I883">
        <v>15.6</v>
      </c>
      <c r="J883">
        <v>10</v>
      </c>
      <c r="K883" t="s">
        <v>19</v>
      </c>
      <c r="L883">
        <v>1</v>
      </c>
      <c r="M883" t="s">
        <v>31</v>
      </c>
      <c r="N883" t="s">
        <v>35</v>
      </c>
      <c r="O883">
        <v>1</v>
      </c>
    </row>
    <row r="884" spans="1:15" x14ac:dyDescent="0.2">
      <c r="A884" t="s">
        <v>917</v>
      </c>
      <c r="B884" s="1">
        <v>46038.708333333336</v>
      </c>
      <c r="C884" t="s">
        <v>22</v>
      </c>
      <c r="D884" t="s">
        <v>16</v>
      </c>
      <c r="E884" t="s">
        <v>13</v>
      </c>
      <c r="F884">
        <v>5</v>
      </c>
      <c r="G884" t="s">
        <v>14</v>
      </c>
      <c r="H884">
        <v>4.7</v>
      </c>
      <c r="I884">
        <v>16.5</v>
      </c>
      <c r="J884">
        <v>12</v>
      </c>
      <c r="K884" t="s">
        <v>15</v>
      </c>
      <c r="L884">
        <v>0</v>
      </c>
      <c r="M884" t="s">
        <v>31</v>
      </c>
      <c r="N884" t="s">
        <v>32</v>
      </c>
      <c r="O884">
        <v>1</v>
      </c>
    </row>
    <row r="885" spans="1:15" x14ac:dyDescent="0.2">
      <c r="A885" t="s">
        <v>918</v>
      </c>
      <c r="B885" s="1">
        <v>46039.791666666664</v>
      </c>
      <c r="C885" t="s">
        <v>20</v>
      </c>
      <c r="D885" t="s">
        <v>17</v>
      </c>
      <c r="E885" t="s">
        <v>13</v>
      </c>
      <c r="F885">
        <v>3</v>
      </c>
      <c r="G885" t="s">
        <v>26</v>
      </c>
      <c r="H885">
        <v>6.1</v>
      </c>
      <c r="I885">
        <v>1</v>
      </c>
      <c r="J885">
        <v>9</v>
      </c>
      <c r="K885" t="s">
        <v>15</v>
      </c>
      <c r="L885">
        <v>0</v>
      </c>
      <c r="M885" t="s">
        <v>31</v>
      </c>
      <c r="N885" t="s">
        <v>32</v>
      </c>
      <c r="O885">
        <v>1</v>
      </c>
    </row>
    <row r="886" spans="1:15" x14ac:dyDescent="0.2">
      <c r="A886" t="s">
        <v>919</v>
      </c>
      <c r="B886" s="1">
        <v>46072.333333333336</v>
      </c>
      <c r="C886" t="s">
        <v>11</v>
      </c>
      <c r="D886" t="s">
        <v>12</v>
      </c>
      <c r="E886" t="s">
        <v>13</v>
      </c>
      <c r="F886">
        <v>5</v>
      </c>
      <c r="G886" t="s">
        <v>14</v>
      </c>
      <c r="H886">
        <v>0.2</v>
      </c>
      <c r="I886">
        <v>11.1</v>
      </c>
      <c r="J886">
        <v>10</v>
      </c>
      <c r="K886" t="s">
        <v>19</v>
      </c>
      <c r="L886">
        <v>1</v>
      </c>
      <c r="M886" t="s">
        <v>31</v>
      </c>
      <c r="N886" t="s">
        <v>41</v>
      </c>
      <c r="O886">
        <v>1</v>
      </c>
    </row>
    <row r="887" spans="1:15" x14ac:dyDescent="0.2">
      <c r="A887" t="s">
        <v>920</v>
      </c>
      <c r="B887" s="1">
        <v>46000.875</v>
      </c>
      <c r="C887" t="s">
        <v>20</v>
      </c>
      <c r="D887" t="s">
        <v>16</v>
      </c>
      <c r="E887" t="s">
        <v>18</v>
      </c>
      <c r="F887">
        <v>5</v>
      </c>
      <c r="G887" t="s">
        <v>14</v>
      </c>
      <c r="H887">
        <v>4.9000000000000004</v>
      </c>
      <c r="I887">
        <v>6</v>
      </c>
      <c r="J887">
        <v>11</v>
      </c>
      <c r="K887" t="s">
        <v>15</v>
      </c>
      <c r="L887">
        <v>0</v>
      </c>
      <c r="M887" t="s">
        <v>31</v>
      </c>
      <c r="N887" t="s">
        <v>32</v>
      </c>
      <c r="O887">
        <v>1</v>
      </c>
    </row>
    <row r="888" spans="1:15" x14ac:dyDescent="0.2">
      <c r="A888" t="s">
        <v>921</v>
      </c>
      <c r="B888" s="1">
        <v>46014.333333333336</v>
      </c>
      <c r="C888" t="s">
        <v>11</v>
      </c>
      <c r="D888" t="s">
        <v>12</v>
      </c>
      <c r="E888" t="s">
        <v>23</v>
      </c>
      <c r="F888">
        <v>5</v>
      </c>
      <c r="G888" t="s">
        <v>14</v>
      </c>
      <c r="H888">
        <v>6.5</v>
      </c>
      <c r="I888">
        <v>19.100000000000001</v>
      </c>
      <c r="J888">
        <v>9</v>
      </c>
      <c r="K888" t="s">
        <v>15</v>
      </c>
      <c r="L888">
        <v>0</v>
      </c>
      <c r="M888" t="s">
        <v>31</v>
      </c>
      <c r="N888" t="s">
        <v>32</v>
      </c>
      <c r="O888">
        <v>1</v>
      </c>
    </row>
    <row r="889" spans="1:15" x14ac:dyDescent="0.2">
      <c r="A889" t="s">
        <v>922</v>
      </c>
      <c r="B889" s="1">
        <v>46057.541666666664</v>
      </c>
      <c r="C889" t="s">
        <v>11</v>
      </c>
      <c r="D889" t="s">
        <v>12</v>
      </c>
      <c r="E889" t="s">
        <v>23</v>
      </c>
      <c r="F889">
        <v>5</v>
      </c>
      <c r="G889" t="s">
        <v>14</v>
      </c>
      <c r="H889">
        <v>3.2</v>
      </c>
      <c r="I889">
        <v>21.1</v>
      </c>
      <c r="J889">
        <v>12</v>
      </c>
      <c r="K889" t="s">
        <v>19</v>
      </c>
      <c r="L889">
        <v>1</v>
      </c>
      <c r="M889" t="s">
        <v>31</v>
      </c>
      <c r="N889" t="s">
        <v>35</v>
      </c>
      <c r="O889">
        <v>1</v>
      </c>
    </row>
    <row r="890" spans="1:15" x14ac:dyDescent="0.2">
      <c r="A890" t="s">
        <v>923</v>
      </c>
      <c r="B890" s="1">
        <v>46037.041666666664</v>
      </c>
      <c r="C890" t="s">
        <v>20</v>
      </c>
      <c r="D890" t="s">
        <v>16</v>
      </c>
      <c r="E890" t="s">
        <v>21</v>
      </c>
      <c r="F890">
        <v>5</v>
      </c>
      <c r="G890" t="s">
        <v>14</v>
      </c>
      <c r="H890">
        <v>6</v>
      </c>
      <c r="I890">
        <v>1</v>
      </c>
      <c r="J890">
        <v>11</v>
      </c>
      <c r="K890" t="s">
        <v>15</v>
      </c>
      <c r="L890">
        <v>0</v>
      </c>
      <c r="M890" t="s">
        <v>31</v>
      </c>
      <c r="N890" t="s">
        <v>32</v>
      </c>
      <c r="O890">
        <v>1</v>
      </c>
    </row>
    <row r="891" spans="1:15" x14ac:dyDescent="0.2">
      <c r="A891" t="s">
        <v>924</v>
      </c>
      <c r="B891" s="1">
        <v>45999.833333333336</v>
      </c>
      <c r="C891" t="s">
        <v>11</v>
      </c>
      <c r="D891" t="s">
        <v>17</v>
      </c>
      <c r="E891" t="s">
        <v>21</v>
      </c>
      <c r="F891">
        <v>4</v>
      </c>
      <c r="G891" t="s">
        <v>14</v>
      </c>
      <c r="H891">
        <v>11.2</v>
      </c>
      <c r="I891">
        <v>12.3</v>
      </c>
      <c r="J891">
        <v>12</v>
      </c>
      <c r="K891" t="s">
        <v>15</v>
      </c>
      <c r="L891">
        <v>0</v>
      </c>
      <c r="M891" t="s">
        <v>31</v>
      </c>
      <c r="N891" t="s">
        <v>32</v>
      </c>
      <c r="O891">
        <v>1</v>
      </c>
    </row>
    <row r="892" spans="1:15" x14ac:dyDescent="0.2">
      <c r="A892" t="s">
        <v>925</v>
      </c>
      <c r="B892" s="1">
        <v>46051.875</v>
      </c>
      <c r="C892" t="s">
        <v>11</v>
      </c>
      <c r="D892" t="s">
        <v>12</v>
      </c>
      <c r="E892" t="s">
        <v>23</v>
      </c>
      <c r="F892">
        <v>5</v>
      </c>
      <c r="G892" t="s">
        <v>14</v>
      </c>
      <c r="H892">
        <v>3.9</v>
      </c>
      <c r="I892">
        <v>21.5</v>
      </c>
      <c r="J892">
        <v>11</v>
      </c>
      <c r="K892" t="s">
        <v>19</v>
      </c>
      <c r="L892">
        <v>1</v>
      </c>
      <c r="M892" t="s">
        <v>31</v>
      </c>
      <c r="N892" t="s">
        <v>35</v>
      </c>
      <c r="O892">
        <v>1</v>
      </c>
    </row>
    <row r="893" spans="1:15" x14ac:dyDescent="0.2">
      <c r="A893" t="s">
        <v>926</v>
      </c>
      <c r="B893" s="1">
        <v>46063.666666666664</v>
      </c>
      <c r="C893" t="s">
        <v>11</v>
      </c>
      <c r="D893" t="s">
        <v>12</v>
      </c>
      <c r="E893" t="s">
        <v>25</v>
      </c>
      <c r="F893">
        <v>4</v>
      </c>
      <c r="G893" t="s">
        <v>14</v>
      </c>
      <c r="H893">
        <v>5.2</v>
      </c>
      <c r="I893">
        <v>11</v>
      </c>
      <c r="J893">
        <v>12</v>
      </c>
      <c r="K893" t="s">
        <v>15</v>
      </c>
      <c r="L893">
        <v>0</v>
      </c>
      <c r="M893" t="s">
        <v>31</v>
      </c>
      <c r="N893" t="s">
        <v>32</v>
      </c>
      <c r="O893">
        <v>1</v>
      </c>
    </row>
    <row r="894" spans="1:15" x14ac:dyDescent="0.2">
      <c r="A894" t="s">
        <v>927</v>
      </c>
      <c r="B894" s="1">
        <v>46056.791666666664</v>
      </c>
      <c r="C894" t="s">
        <v>11</v>
      </c>
      <c r="D894" t="s">
        <v>17</v>
      </c>
      <c r="E894" t="s">
        <v>21</v>
      </c>
      <c r="F894">
        <v>5</v>
      </c>
      <c r="G894" t="s">
        <v>14</v>
      </c>
      <c r="H894">
        <v>2.4</v>
      </c>
      <c r="I894">
        <v>18.3</v>
      </c>
      <c r="J894">
        <v>11</v>
      </c>
      <c r="K894" t="s">
        <v>19</v>
      </c>
      <c r="L894">
        <v>1</v>
      </c>
      <c r="M894" t="s">
        <v>31</v>
      </c>
      <c r="N894" t="s">
        <v>35</v>
      </c>
      <c r="O894">
        <v>1</v>
      </c>
    </row>
    <row r="895" spans="1:15" x14ac:dyDescent="0.2">
      <c r="A895" t="s">
        <v>928</v>
      </c>
      <c r="B895" s="1">
        <v>46004.833333333336</v>
      </c>
      <c r="C895" t="s">
        <v>11</v>
      </c>
      <c r="D895" t="s">
        <v>12</v>
      </c>
      <c r="E895" t="s">
        <v>25</v>
      </c>
      <c r="F895">
        <v>4</v>
      </c>
      <c r="G895" t="s">
        <v>14</v>
      </c>
      <c r="H895">
        <v>4.7</v>
      </c>
      <c r="I895">
        <v>15.3</v>
      </c>
      <c r="J895">
        <v>12</v>
      </c>
      <c r="K895" t="s">
        <v>15</v>
      </c>
      <c r="L895">
        <v>0</v>
      </c>
      <c r="M895" t="s">
        <v>31</v>
      </c>
      <c r="N895" t="s">
        <v>32</v>
      </c>
      <c r="O895">
        <v>1</v>
      </c>
    </row>
    <row r="896" spans="1:15" x14ac:dyDescent="0.2">
      <c r="A896" t="s">
        <v>929</v>
      </c>
      <c r="B896" s="1">
        <v>45998.916666666664</v>
      </c>
      <c r="C896" t="s">
        <v>11</v>
      </c>
      <c r="D896" t="s">
        <v>16</v>
      </c>
      <c r="E896" t="s">
        <v>13</v>
      </c>
      <c r="F896">
        <v>5</v>
      </c>
      <c r="G896" t="s">
        <v>14</v>
      </c>
      <c r="H896">
        <v>5.4</v>
      </c>
      <c r="I896">
        <v>15.2</v>
      </c>
      <c r="J896">
        <v>10</v>
      </c>
      <c r="K896" t="s">
        <v>15</v>
      </c>
      <c r="L896">
        <v>0</v>
      </c>
      <c r="M896" t="s">
        <v>31</v>
      </c>
      <c r="N896" t="s">
        <v>32</v>
      </c>
      <c r="O896">
        <v>1</v>
      </c>
    </row>
    <row r="897" spans="1:15" x14ac:dyDescent="0.2">
      <c r="A897" t="s">
        <v>930</v>
      </c>
      <c r="B897" s="1">
        <v>46059.166666666664</v>
      </c>
      <c r="C897" t="s">
        <v>11</v>
      </c>
      <c r="D897" t="s">
        <v>16</v>
      </c>
      <c r="E897" t="s">
        <v>21</v>
      </c>
      <c r="F897">
        <v>5</v>
      </c>
      <c r="G897" t="s">
        <v>14</v>
      </c>
      <c r="H897">
        <v>4.7</v>
      </c>
      <c r="I897">
        <v>10.3</v>
      </c>
      <c r="J897">
        <v>11</v>
      </c>
      <c r="K897" t="s">
        <v>15</v>
      </c>
      <c r="L897">
        <v>0</v>
      </c>
      <c r="M897" t="s">
        <v>31</v>
      </c>
      <c r="N897" t="s">
        <v>32</v>
      </c>
      <c r="O897">
        <v>1</v>
      </c>
    </row>
    <row r="898" spans="1:15" x14ac:dyDescent="0.2">
      <c r="A898" t="s">
        <v>931</v>
      </c>
      <c r="B898" s="1">
        <v>46018.416666666664</v>
      </c>
      <c r="C898" t="s">
        <v>11</v>
      </c>
      <c r="D898" t="s">
        <v>16</v>
      </c>
      <c r="E898" t="s">
        <v>23</v>
      </c>
      <c r="F898">
        <v>3</v>
      </c>
      <c r="G898" t="s">
        <v>26</v>
      </c>
      <c r="H898">
        <v>1.7</v>
      </c>
      <c r="I898">
        <v>2.8</v>
      </c>
      <c r="J898">
        <v>11</v>
      </c>
      <c r="K898" t="s">
        <v>19</v>
      </c>
      <c r="L898">
        <v>1</v>
      </c>
      <c r="M898" t="s">
        <v>31</v>
      </c>
      <c r="N898" t="s">
        <v>35</v>
      </c>
      <c r="O898">
        <v>1</v>
      </c>
    </row>
    <row r="899" spans="1:15" x14ac:dyDescent="0.2">
      <c r="A899" t="s">
        <v>932</v>
      </c>
      <c r="B899" s="1">
        <v>46009.25</v>
      </c>
      <c r="C899" t="s">
        <v>11</v>
      </c>
      <c r="D899" t="s">
        <v>12</v>
      </c>
      <c r="E899" t="s">
        <v>13</v>
      </c>
      <c r="F899">
        <v>5</v>
      </c>
      <c r="G899" t="s">
        <v>14</v>
      </c>
      <c r="H899">
        <v>4.7</v>
      </c>
      <c r="I899">
        <v>3.5</v>
      </c>
      <c r="J899">
        <v>10</v>
      </c>
      <c r="K899" t="s">
        <v>15</v>
      </c>
      <c r="L899">
        <v>0</v>
      </c>
      <c r="M899" t="s">
        <v>31</v>
      </c>
      <c r="N899" t="s">
        <v>32</v>
      </c>
      <c r="O899">
        <v>1</v>
      </c>
    </row>
    <row r="900" spans="1:15" x14ac:dyDescent="0.2">
      <c r="A900" t="s">
        <v>933</v>
      </c>
      <c r="B900" s="1">
        <v>46024.125</v>
      </c>
      <c r="C900" t="s">
        <v>22</v>
      </c>
      <c r="D900" t="s">
        <v>12</v>
      </c>
      <c r="E900" t="s">
        <v>23</v>
      </c>
      <c r="F900">
        <v>4</v>
      </c>
      <c r="G900" t="s">
        <v>14</v>
      </c>
      <c r="H900">
        <v>7.9</v>
      </c>
      <c r="I900">
        <v>18.2</v>
      </c>
      <c r="J900">
        <v>12</v>
      </c>
      <c r="K900" t="s">
        <v>15</v>
      </c>
      <c r="L900">
        <v>0</v>
      </c>
      <c r="M900" t="s">
        <v>31</v>
      </c>
      <c r="N900" t="s">
        <v>32</v>
      </c>
      <c r="O900">
        <v>1</v>
      </c>
    </row>
    <row r="901" spans="1:15" x14ac:dyDescent="0.2">
      <c r="A901" t="s">
        <v>934</v>
      </c>
      <c r="B901" s="1">
        <v>46009.166666666664</v>
      </c>
      <c r="C901" t="s">
        <v>20</v>
      </c>
      <c r="D901" t="s">
        <v>17</v>
      </c>
      <c r="E901" t="s">
        <v>13</v>
      </c>
      <c r="F901">
        <v>5</v>
      </c>
      <c r="G901" t="s">
        <v>14</v>
      </c>
      <c r="H901">
        <v>5.3</v>
      </c>
      <c r="I901">
        <v>12.7</v>
      </c>
      <c r="J901">
        <v>11</v>
      </c>
      <c r="K901" t="s">
        <v>15</v>
      </c>
      <c r="L901">
        <v>0</v>
      </c>
      <c r="M901" t="s">
        <v>31</v>
      </c>
      <c r="N901" t="s">
        <v>32</v>
      </c>
      <c r="O901">
        <v>1</v>
      </c>
    </row>
    <row r="902" spans="1:15" x14ac:dyDescent="0.2">
      <c r="A902" t="s">
        <v>935</v>
      </c>
      <c r="B902" s="1">
        <v>46000.208333333336</v>
      </c>
      <c r="C902" t="s">
        <v>11</v>
      </c>
      <c r="D902" t="s">
        <v>16</v>
      </c>
      <c r="E902" t="s">
        <v>13</v>
      </c>
      <c r="F902">
        <v>4</v>
      </c>
      <c r="G902" t="s">
        <v>14</v>
      </c>
      <c r="H902">
        <v>6.6</v>
      </c>
      <c r="I902">
        <v>11.4</v>
      </c>
      <c r="J902">
        <v>10</v>
      </c>
      <c r="K902" t="s">
        <v>15</v>
      </c>
      <c r="L902">
        <v>0</v>
      </c>
      <c r="M902" t="s">
        <v>31</v>
      </c>
      <c r="N902" t="s">
        <v>32</v>
      </c>
      <c r="O902">
        <v>1</v>
      </c>
    </row>
    <row r="903" spans="1:15" x14ac:dyDescent="0.2">
      <c r="A903" t="s">
        <v>936</v>
      </c>
      <c r="B903" s="1">
        <v>46040.166666666664</v>
      </c>
      <c r="C903" t="s">
        <v>22</v>
      </c>
      <c r="D903" t="s">
        <v>12</v>
      </c>
      <c r="E903" t="s">
        <v>21</v>
      </c>
      <c r="F903">
        <v>4</v>
      </c>
      <c r="G903" t="s">
        <v>14</v>
      </c>
      <c r="H903">
        <v>3.6</v>
      </c>
      <c r="I903">
        <v>9.1</v>
      </c>
      <c r="J903">
        <v>12</v>
      </c>
      <c r="K903" t="s">
        <v>19</v>
      </c>
      <c r="L903">
        <v>1</v>
      </c>
      <c r="M903" t="s">
        <v>31</v>
      </c>
      <c r="N903" t="s">
        <v>35</v>
      </c>
      <c r="O903">
        <v>1</v>
      </c>
    </row>
    <row r="904" spans="1:15" x14ac:dyDescent="0.2">
      <c r="A904" t="s">
        <v>937</v>
      </c>
      <c r="B904" s="1">
        <v>46041.833333333336</v>
      </c>
      <c r="C904" t="s">
        <v>20</v>
      </c>
      <c r="D904" t="s">
        <v>17</v>
      </c>
      <c r="E904" t="s">
        <v>13</v>
      </c>
      <c r="F904">
        <v>5</v>
      </c>
      <c r="G904" t="s">
        <v>14</v>
      </c>
      <c r="H904">
        <v>6.1</v>
      </c>
      <c r="I904">
        <v>10.1</v>
      </c>
      <c r="J904">
        <v>11</v>
      </c>
      <c r="K904" t="s">
        <v>15</v>
      </c>
      <c r="L904">
        <v>0</v>
      </c>
      <c r="M904" t="s">
        <v>31</v>
      </c>
      <c r="N904" t="s">
        <v>32</v>
      </c>
      <c r="O904">
        <v>1</v>
      </c>
    </row>
    <row r="905" spans="1:15" x14ac:dyDescent="0.2">
      <c r="A905" t="s">
        <v>938</v>
      </c>
      <c r="B905" s="1">
        <v>46025.916666666664</v>
      </c>
      <c r="C905" t="s">
        <v>11</v>
      </c>
      <c r="D905" t="s">
        <v>12</v>
      </c>
      <c r="E905" t="s">
        <v>23</v>
      </c>
      <c r="F905">
        <v>4</v>
      </c>
      <c r="G905" t="s">
        <v>14</v>
      </c>
      <c r="H905">
        <v>4.9000000000000004</v>
      </c>
      <c r="I905">
        <v>20.9</v>
      </c>
      <c r="J905">
        <v>11</v>
      </c>
      <c r="K905" t="s">
        <v>15</v>
      </c>
      <c r="L905">
        <v>0</v>
      </c>
      <c r="M905" t="s">
        <v>31</v>
      </c>
      <c r="N905" t="s">
        <v>32</v>
      </c>
      <c r="O905">
        <v>1</v>
      </c>
    </row>
    <row r="906" spans="1:15" x14ac:dyDescent="0.2">
      <c r="A906" t="s">
        <v>939</v>
      </c>
      <c r="B906" s="1">
        <v>46021.416666666664</v>
      </c>
      <c r="C906" t="s">
        <v>11</v>
      </c>
      <c r="D906" t="s">
        <v>16</v>
      </c>
      <c r="E906" t="s">
        <v>23</v>
      </c>
      <c r="F906">
        <v>5</v>
      </c>
      <c r="G906" t="s">
        <v>14</v>
      </c>
      <c r="H906">
        <v>1.8</v>
      </c>
      <c r="I906">
        <v>9.8000000000000007</v>
      </c>
      <c r="J906">
        <v>12</v>
      </c>
      <c r="K906" t="s">
        <v>19</v>
      </c>
      <c r="L906">
        <v>1</v>
      </c>
      <c r="M906" t="s">
        <v>31</v>
      </c>
      <c r="N906" t="s">
        <v>35</v>
      </c>
      <c r="O906">
        <v>1</v>
      </c>
    </row>
    <row r="907" spans="1:15" x14ac:dyDescent="0.2">
      <c r="A907" t="s">
        <v>940</v>
      </c>
      <c r="B907" s="1">
        <v>46001.625</v>
      </c>
      <c r="C907" t="s">
        <v>11</v>
      </c>
      <c r="D907" t="s">
        <v>12</v>
      </c>
      <c r="E907" t="s">
        <v>13</v>
      </c>
      <c r="F907">
        <v>4</v>
      </c>
      <c r="G907" t="s">
        <v>14</v>
      </c>
      <c r="H907">
        <v>5</v>
      </c>
      <c r="I907">
        <v>1.8</v>
      </c>
      <c r="J907">
        <v>10</v>
      </c>
      <c r="K907" t="s">
        <v>15</v>
      </c>
      <c r="L907">
        <v>0</v>
      </c>
      <c r="M907" t="s">
        <v>31</v>
      </c>
      <c r="N907" t="s">
        <v>32</v>
      </c>
      <c r="O907">
        <v>1</v>
      </c>
    </row>
    <row r="908" spans="1:15" x14ac:dyDescent="0.2">
      <c r="A908" t="s">
        <v>941</v>
      </c>
      <c r="B908" s="1">
        <v>46046.25</v>
      </c>
      <c r="C908" t="s">
        <v>11</v>
      </c>
      <c r="D908" t="s">
        <v>17</v>
      </c>
      <c r="E908" t="s">
        <v>18</v>
      </c>
      <c r="F908">
        <v>4</v>
      </c>
      <c r="G908" t="s">
        <v>14</v>
      </c>
      <c r="H908">
        <v>1.7</v>
      </c>
      <c r="I908">
        <v>18.399999999999999</v>
      </c>
      <c r="J908">
        <v>11</v>
      </c>
      <c r="K908" t="s">
        <v>19</v>
      </c>
      <c r="L908">
        <v>1</v>
      </c>
      <c r="M908" t="s">
        <v>31</v>
      </c>
      <c r="N908" t="s">
        <v>35</v>
      </c>
      <c r="O908">
        <v>1</v>
      </c>
    </row>
    <row r="909" spans="1:15" x14ac:dyDescent="0.2">
      <c r="A909" t="s">
        <v>942</v>
      </c>
      <c r="B909" s="1">
        <v>46074.541666666664</v>
      </c>
      <c r="C909" t="s">
        <v>11</v>
      </c>
      <c r="D909" t="s">
        <v>12</v>
      </c>
      <c r="E909" t="s">
        <v>13</v>
      </c>
      <c r="F909">
        <v>4</v>
      </c>
      <c r="G909" t="s">
        <v>14</v>
      </c>
      <c r="H909">
        <v>2.6</v>
      </c>
      <c r="I909">
        <v>10.9</v>
      </c>
      <c r="J909">
        <v>12</v>
      </c>
      <c r="K909" t="s">
        <v>19</v>
      </c>
      <c r="L909">
        <v>1</v>
      </c>
      <c r="M909" t="s">
        <v>31</v>
      </c>
      <c r="N909" t="s">
        <v>35</v>
      </c>
      <c r="O909">
        <v>1</v>
      </c>
    </row>
    <row r="910" spans="1:15" x14ac:dyDescent="0.2">
      <c r="A910" t="s">
        <v>943</v>
      </c>
      <c r="B910" s="1">
        <v>46017.916666666664</v>
      </c>
      <c r="C910" t="s">
        <v>11</v>
      </c>
      <c r="D910" t="s">
        <v>12</v>
      </c>
      <c r="E910" t="s">
        <v>23</v>
      </c>
      <c r="F910">
        <v>5</v>
      </c>
      <c r="G910" t="s">
        <v>14</v>
      </c>
      <c r="H910">
        <v>4.7</v>
      </c>
      <c r="I910">
        <v>12.8</v>
      </c>
      <c r="J910">
        <v>11</v>
      </c>
      <c r="K910" t="s">
        <v>15</v>
      </c>
      <c r="L910">
        <v>0</v>
      </c>
      <c r="M910" t="s">
        <v>31</v>
      </c>
      <c r="N910" t="s">
        <v>32</v>
      </c>
      <c r="O910">
        <v>1</v>
      </c>
    </row>
    <row r="911" spans="1:15" x14ac:dyDescent="0.2">
      <c r="A911" t="s">
        <v>944</v>
      </c>
      <c r="B911" s="1">
        <v>46042.416666666664</v>
      </c>
      <c r="C911" t="s">
        <v>11</v>
      </c>
      <c r="D911" t="s">
        <v>12</v>
      </c>
      <c r="E911" t="s">
        <v>23</v>
      </c>
      <c r="F911">
        <v>4</v>
      </c>
      <c r="G911" t="s">
        <v>14</v>
      </c>
      <c r="H911">
        <v>4.9000000000000004</v>
      </c>
      <c r="I911">
        <v>25.4</v>
      </c>
      <c r="J911">
        <v>12</v>
      </c>
      <c r="K911" t="s">
        <v>15</v>
      </c>
      <c r="L911">
        <v>0</v>
      </c>
      <c r="M911" t="s">
        <v>55</v>
      </c>
      <c r="N911" t="s">
        <v>32</v>
      </c>
      <c r="O911">
        <v>1</v>
      </c>
    </row>
    <row r="912" spans="1:15" x14ac:dyDescent="0.2">
      <c r="A912" t="s">
        <v>945</v>
      </c>
      <c r="B912" s="1">
        <v>46024.958333333336</v>
      </c>
      <c r="C912" t="s">
        <v>11</v>
      </c>
      <c r="D912" t="s">
        <v>12</v>
      </c>
      <c r="E912" t="s">
        <v>13</v>
      </c>
      <c r="F912">
        <v>2</v>
      </c>
      <c r="G912" t="s">
        <v>24</v>
      </c>
      <c r="H912">
        <v>1.2</v>
      </c>
      <c r="I912">
        <v>12.3</v>
      </c>
      <c r="J912">
        <v>11</v>
      </c>
      <c r="K912" t="s">
        <v>19</v>
      </c>
      <c r="L912">
        <v>1</v>
      </c>
      <c r="M912" t="s">
        <v>31</v>
      </c>
      <c r="N912" t="s">
        <v>35</v>
      </c>
      <c r="O912">
        <v>1</v>
      </c>
    </row>
    <row r="913" spans="1:15" x14ac:dyDescent="0.2">
      <c r="A913" t="s">
        <v>946</v>
      </c>
      <c r="B913" s="1">
        <v>46074.541666666664</v>
      </c>
      <c r="C913" t="s">
        <v>11</v>
      </c>
      <c r="D913" t="s">
        <v>17</v>
      </c>
      <c r="E913" t="s">
        <v>13</v>
      </c>
      <c r="F913">
        <v>4</v>
      </c>
      <c r="G913" t="s">
        <v>14</v>
      </c>
      <c r="H913">
        <v>6.8</v>
      </c>
      <c r="I913">
        <v>14.8</v>
      </c>
      <c r="J913">
        <v>9</v>
      </c>
      <c r="K913" t="s">
        <v>15</v>
      </c>
      <c r="L913">
        <v>0</v>
      </c>
      <c r="M913" t="s">
        <v>31</v>
      </c>
      <c r="N913" t="s">
        <v>32</v>
      </c>
      <c r="O913">
        <v>1</v>
      </c>
    </row>
    <row r="914" spans="1:15" x14ac:dyDescent="0.2">
      <c r="A914" t="s">
        <v>947</v>
      </c>
      <c r="B914" s="1">
        <v>46045.916666666664</v>
      </c>
      <c r="C914" t="s">
        <v>11</v>
      </c>
      <c r="D914" t="s">
        <v>17</v>
      </c>
      <c r="E914" t="s">
        <v>25</v>
      </c>
      <c r="F914">
        <v>1</v>
      </c>
      <c r="G914" t="s">
        <v>24</v>
      </c>
      <c r="H914">
        <v>5.6</v>
      </c>
      <c r="I914">
        <v>3.1</v>
      </c>
      <c r="J914">
        <v>10</v>
      </c>
      <c r="K914" t="s">
        <v>15</v>
      </c>
      <c r="L914">
        <v>0</v>
      </c>
      <c r="M914" t="s">
        <v>31</v>
      </c>
      <c r="N914" t="s">
        <v>32</v>
      </c>
      <c r="O914">
        <v>1</v>
      </c>
    </row>
    <row r="915" spans="1:15" x14ac:dyDescent="0.2">
      <c r="A915" t="s">
        <v>948</v>
      </c>
      <c r="B915" s="1">
        <v>45999.916666666664</v>
      </c>
      <c r="C915" t="s">
        <v>11</v>
      </c>
      <c r="D915" t="s">
        <v>12</v>
      </c>
      <c r="E915" t="s">
        <v>18</v>
      </c>
      <c r="F915">
        <v>5</v>
      </c>
      <c r="G915" t="s">
        <v>14</v>
      </c>
      <c r="H915">
        <v>2.4</v>
      </c>
      <c r="I915">
        <v>10.7</v>
      </c>
      <c r="J915">
        <v>10</v>
      </c>
      <c r="K915" t="s">
        <v>19</v>
      </c>
      <c r="L915">
        <v>1</v>
      </c>
      <c r="M915" t="s">
        <v>31</v>
      </c>
      <c r="N915" t="s">
        <v>35</v>
      </c>
      <c r="O915">
        <v>1</v>
      </c>
    </row>
    <row r="916" spans="1:15" x14ac:dyDescent="0.2">
      <c r="A916" t="s">
        <v>949</v>
      </c>
      <c r="B916" s="1">
        <v>46003.208333333336</v>
      </c>
      <c r="C916" t="s">
        <v>11</v>
      </c>
      <c r="D916" t="s">
        <v>16</v>
      </c>
      <c r="E916" t="s">
        <v>13</v>
      </c>
      <c r="F916">
        <v>5</v>
      </c>
      <c r="G916" t="s">
        <v>14</v>
      </c>
      <c r="H916">
        <v>0.4</v>
      </c>
      <c r="I916">
        <v>17.399999999999999</v>
      </c>
      <c r="J916">
        <v>9</v>
      </c>
      <c r="K916" t="s">
        <v>19</v>
      </c>
      <c r="L916">
        <v>1</v>
      </c>
      <c r="M916" t="s">
        <v>31</v>
      </c>
      <c r="N916" t="s">
        <v>41</v>
      </c>
      <c r="O916">
        <v>1</v>
      </c>
    </row>
    <row r="917" spans="1:15" x14ac:dyDescent="0.2">
      <c r="A917" t="s">
        <v>950</v>
      </c>
      <c r="B917" s="1">
        <v>46017.5</v>
      </c>
      <c r="C917" t="s">
        <v>11</v>
      </c>
      <c r="D917" t="s">
        <v>16</v>
      </c>
      <c r="E917" t="s">
        <v>25</v>
      </c>
      <c r="F917">
        <v>4</v>
      </c>
      <c r="G917" t="s">
        <v>14</v>
      </c>
      <c r="H917">
        <v>3.8</v>
      </c>
      <c r="I917">
        <v>1</v>
      </c>
      <c r="J917">
        <v>12</v>
      </c>
      <c r="K917" t="s">
        <v>19</v>
      </c>
      <c r="L917">
        <v>1</v>
      </c>
      <c r="M917" t="s">
        <v>31</v>
      </c>
      <c r="N917" t="s">
        <v>35</v>
      </c>
      <c r="O917">
        <v>1</v>
      </c>
    </row>
    <row r="918" spans="1:15" x14ac:dyDescent="0.2">
      <c r="A918" t="s">
        <v>951</v>
      </c>
      <c r="B918" s="1">
        <v>46022.25</v>
      </c>
      <c r="C918" t="s">
        <v>11</v>
      </c>
      <c r="D918" t="s">
        <v>17</v>
      </c>
      <c r="E918" t="s">
        <v>25</v>
      </c>
      <c r="F918">
        <v>5</v>
      </c>
      <c r="G918" t="s">
        <v>14</v>
      </c>
      <c r="H918">
        <v>3.1</v>
      </c>
      <c r="I918">
        <v>14.1</v>
      </c>
      <c r="J918">
        <v>10</v>
      </c>
      <c r="K918" t="s">
        <v>19</v>
      </c>
      <c r="L918">
        <v>1</v>
      </c>
      <c r="M918" t="s">
        <v>31</v>
      </c>
      <c r="N918" t="s">
        <v>35</v>
      </c>
      <c r="O918">
        <v>1</v>
      </c>
    </row>
    <row r="919" spans="1:15" x14ac:dyDescent="0.2">
      <c r="A919" t="s">
        <v>952</v>
      </c>
      <c r="B919" s="1">
        <v>46011.041666666664</v>
      </c>
      <c r="C919" t="s">
        <v>11</v>
      </c>
      <c r="D919" t="s">
        <v>16</v>
      </c>
      <c r="E919" t="s">
        <v>21</v>
      </c>
      <c r="F919">
        <v>4</v>
      </c>
      <c r="G919" t="s">
        <v>14</v>
      </c>
      <c r="H919">
        <v>4.5</v>
      </c>
      <c r="I919">
        <v>13.3</v>
      </c>
      <c r="J919">
        <v>12</v>
      </c>
      <c r="K919" t="s">
        <v>15</v>
      </c>
      <c r="L919">
        <v>0</v>
      </c>
      <c r="M919" t="s">
        <v>31</v>
      </c>
      <c r="N919" t="s">
        <v>32</v>
      </c>
      <c r="O919">
        <v>1</v>
      </c>
    </row>
    <row r="920" spans="1:15" x14ac:dyDescent="0.2">
      <c r="A920" t="s">
        <v>953</v>
      </c>
      <c r="B920" s="1">
        <v>46076.416666666664</v>
      </c>
      <c r="C920" t="s">
        <v>11</v>
      </c>
      <c r="D920" t="s">
        <v>12</v>
      </c>
      <c r="E920" t="s">
        <v>23</v>
      </c>
      <c r="F920">
        <v>5</v>
      </c>
      <c r="G920" t="s">
        <v>14</v>
      </c>
      <c r="H920">
        <v>3.3</v>
      </c>
      <c r="I920">
        <v>12.8</v>
      </c>
      <c r="J920">
        <v>11</v>
      </c>
      <c r="K920" t="s">
        <v>19</v>
      </c>
      <c r="L920">
        <v>1</v>
      </c>
      <c r="M920" t="s">
        <v>31</v>
      </c>
      <c r="N920" t="s">
        <v>35</v>
      </c>
      <c r="O920">
        <v>1</v>
      </c>
    </row>
    <row r="921" spans="1:15" x14ac:dyDescent="0.2">
      <c r="A921" t="s">
        <v>954</v>
      </c>
      <c r="B921" s="1">
        <v>46008.166666666664</v>
      </c>
      <c r="C921" t="s">
        <v>20</v>
      </c>
      <c r="D921" t="s">
        <v>16</v>
      </c>
      <c r="E921" t="s">
        <v>23</v>
      </c>
      <c r="F921">
        <v>5</v>
      </c>
      <c r="G921" t="s">
        <v>14</v>
      </c>
      <c r="H921">
        <v>0.1</v>
      </c>
      <c r="I921">
        <v>20.8</v>
      </c>
      <c r="J921">
        <v>9</v>
      </c>
      <c r="K921" t="s">
        <v>19</v>
      </c>
      <c r="L921">
        <v>1</v>
      </c>
      <c r="M921" t="s">
        <v>31</v>
      </c>
      <c r="N921" t="s">
        <v>41</v>
      </c>
      <c r="O921">
        <v>1</v>
      </c>
    </row>
    <row r="922" spans="1:15" x14ac:dyDescent="0.2">
      <c r="A922" t="s">
        <v>955</v>
      </c>
      <c r="B922" s="1">
        <v>46057.583333333336</v>
      </c>
      <c r="C922" t="s">
        <v>11</v>
      </c>
      <c r="D922" t="s">
        <v>16</v>
      </c>
      <c r="E922" t="s">
        <v>23</v>
      </c>
      <c r="F922">
        <v>5</v>
      </c>
      <c r="G922" t="s">
        <v>14</v>
      </c>
      <c r="H922">
        <v>3.2</v>
      </c>
      <c r="I922">
        <v>15.2</v>
      </c>
      <c r="J922">
        <v>12</v>
      </c>
      <c r="K922" t="s">
        <v>19</v>
      </c>
      <c r="L922">
        <v>1</v>
      </c>
      <c r="M922" t="s">
        <v>31</v>
      </c>
      <c r="N922" t="s">
        <v>35</v>
      </c>
      <c r="O922">
        <v>1</v>
      </c>
    </row>
    <row r="923" spans="1:15" x14ac:dyDescent="0.2">
      <c r="A923" t="s">
        <v>956</v>
      </c>
      <c r="B923" s="1">
        <v>46004.375</v>
      </c>
      <c r="C923" t="s">
        <v>11</v>
      </c>
      <c r="D923" t="s">
        <v>12</v>
      </c>
      <c r="E923" t="s">
        <v>25</v>
      </c>
      <c r="F923">
        <v>4</v>
      </c>
      <c r="G923" t="s">
        <v>14</v>
      </c>
      <c r="H923">
        <v>3.4</v>
      </c>
      <c r="I923">
        <v>24.3</v>
      </c>
      <c r="J923">
        <v>12</v>
      </c>
      <c r="K923" t="s">
        <v>19</v>
      </c>
      <c r="L923">
        <v>1</v>
      </c>
      <c r="M923" t="s">
        <v>55</v>
      </c>
      <c r="N923" t="s">
        <v>35</v>
      </c>
      <c r="O923">
        <v>1</v>
      </c>
    </row>
    <row r="924" spans="1:15" x14ac:dyDescent="0.2">
      <c r="A924" t="s">
        <v>957</v>
      </c>
      <c r="B924" s="1">
        <v>46017.833333333336</v>
      </c>
      <c r="C924" t="s">
        <v>11</v>
      </c>
      <c r="D924" t="s">
        <v>16</v>
      </c>
      <c r="E924" t="s">
        <v>21</v>
      </c>
      <c r="F924">
        <v>5</v>
      </c>
      <c r="G924" t="s">
        <v>14</v>
      </c>
      <c r="H924">
        <v>5.8</v>
      </c>
      <c r="I924">
        <v>4.5999999999999996</v>
      </c>
      <c r="J924">
        <v>10</v>
      </c>
      <c r="K924" t="s">
        <v>15</v>
      </c>
      <c r="L924">
        <v>0</v>
      </c>
      <c r="M924" t="s">
        <v>31</v>
      </c>
      <c r="N924" t="s">
        <v>32</v>
      </c>
      <c r="O924">
        <v>1</v>
      </c>
    </row>
    <row r="925" spans="1:15" x14ac:dyDescent="0.2">
      <c r="A925" t="s">
        <v>958</v>
      </c>
      <c r="B925" s="1">
        <v>46074.416666666664</v>
      </c>
      <c r="C925" t="s">
        <v>11</v>
      </c>
      <c r="D925" t="s">
        <v>12</v>
      </c>
      <c r="E925" t="s">
        <v>13</v>
      </c>
      <c r="F925">
        <v>4</v>
      </c>
      <c r="G925" t="s">
        <v>14</v>
      </c>
      <c r="H925">
        <v>2.5</v>
      </c>
      <c r="I925">
        <v>13.6</v>
      </c>
      <c r="J925">
        <v>11</v>
      </c>
      <c r="K925" t="s">
        <v>19</v>
      </c>
      <c r="L925">
        <v>1</v>
      </c>
      <c r="M925" t="s">
        <v>31</v>
      </c>
      <c r="N925" t="s">
        <v>35</v>
      </c>
      <c r="O925">
        <v>1</v>
      </c>
    </row>
    <row r="926" spans="1:15" x14ac:dyDescent="0.2">
      <c r="A926" t="s">
        <v>959</v>
      </c>
      <c r="B926" s="1">
        <v>46068.583333333336</v>
      </c>
      <c r="C926" t="s">
        <v>11</v>
      </c>
      <c r="D926" t="s">
        <v>17</v>
      </c>
      <c r="E926" t="s">
        <v>23</v>
      </c>
      <c r="F926">
        <v>5</v>
      </c>
      <c r="G926" t="s">
        <v>14</v>
      </c>
      <c r="H926">
        <v>8.4</v>
      </c>
      <c r="I926">
        <v>13.2</v>
      </c>
      <c r="J926">
        <v>10</v>
      </c>
      <c r="K926" t="s">
        <v>15</v>
      </c>
      <c r="L926">
        <v>0</v>
      </c>
      <c r="M926" t="s">
        <v>31</v>
      </c>
      <c r="N926" t="s">
        <v>32</v>
      </c>
      <c r="O926">
        <v>1</v>
      </c>
    </row>
    <row r="927" spans="1:15" x14ac:dyDescent="0.2">
      <c r="A927" t="s">
        <v>960</v>
      </c>
      <c r="B927" s="1">
        <v>46071.333333333336</v>
      </c>
      <c r="C927" t="s">
        <v>22</v>
      </c>
      <c r="D927" t="s">
        <v>12</v>
      </c>
      <c r="E927" t="s">
        <v>18</v>
      </c>
      <c r="F927">
        <v>1</v>
      </c>
      <c r="G927" t="s">
        <v>24</v>
      </c>
      <c r="H927">
        <v>0.1</v>
      </c>
      <c r="I927">
        <v>3.9</v>
      </c>
      <c r="J927">
        <v>11</v>
      </c>
      <c r="K927" t="s">
        <v>19</v>
      </c>
      <c r="L927">
        <v>1</v>
      </c>
      <c r="M927" t="s">
        <v>31</v>
      </c>
      <c r="N927" t="s">
        <v>41</v>
      </c>
      <c r="O927">
        <v>1</v>
      </c>
    </row>
    <row r="928" spans="1:15" x14ac:dyDescent="0.2">
      <c r="A928" t="s">
        <v>961</v>
      </c>
      <c r="B928" s="1">
        <v>45999.791666666664</v>
      </c>
      <c r="C928" t="s">
        <v>11</v>
      </c>
      <c r="D928" t="s">
        <v>16</v>
      </c>
      <c r="E928" t="s">
        <v>21</v>
      </c>
      <c r="F928">
        <v>5</v>
      </c>
      <c r="G928" t="s">
        <v>14</v>
      </c>
      <c r="H928">
        <v>7.5</v>
      </c>
      <c r="I928">
        <v>20.2</v>
      </c>
      <c r="J928">
        <v>10</v>
      </c>
      <c r="K928" t="s">
        <v>15</v>
      </c>
      <c r="L928">
        <v>0</v>
      </c>
      <c r="M928" t="s">
        <v>31</v>
      </c>
      <c r="N928" t="s">
        <v>32</v>
      </c>
      <c r="O928">
        <v>1</v>
      </c>
    </row>
    <row r="929" spans="1:15" x14ac:dyDescent="0.2">
      <c r="A929" t="s">
        <v>962</v>
      </c>
      <c r="B929" s="1">
        <v>46076.708333333336</v>
      </c>
      <c r="C929" t="s">
        <v>11</v>
      </c>
      <c r="D929" t="s">
        <v>16</v>
      </c>
      <c r="E929" t="s">
        <v>18</v>
      </c>
      <c r="F929">
        <v>5</v>
      </c>
      <c r="G929" t="s">
        <v>14</v>
      </c>
      <c r="H929">
        <v>3.6</v>
      </c>
      <c r="I929">
        <v>31.1</v>
      </c>
      <c r="J929">
        <v>12</v>
      </c>
      <c r="K929" t="s">
        <v>19</v>
      </c>
      <c r="L929">
        <v>1</v>
      </c>
      <c r="M929" t="s">
        <v>55</v>
      </c>
      <c r="N929" t="s">
        <v>35</v>
      </c>
      <c r="O929">
        <v>1</v>
      </c>
    </row>
    <row r="930" spans="1:15" x14ac:dyDescent="0.2">
      <c r="A930" t="s">
        <v>963</v>
      </c>
      <c r="B930" s="1">
        <v>46025.416666666664</v>
      </c>
      <c r="C930" t="s">
        <v>11</v>
      </c>
      <c r="D930" t="s">
        <v>16</v>
      </c>
      <c r="E930" t="s">
        <v>21</v>
      </c>
      <c r="F930">
        <v>5</v>
      </c>
      <c r="G930" t="s">
        <v>14</v>
      </c>
      <c r="H930">
        <v>6.3</v>
      </c>
      <c r="I930">
        <v>12.4</v>
      </c>
      <c r="J930">
        <v>12</v>
      </c>
      <c r="K930" t="s">
        <v>15</v>
      </c>
      <c r="L930">
        <v>0</v>
      </c>
      <c r="M930" t="s">
        <v>31</v>
      </c>
      <c r="N930" t="s">
        <v>32</v>
      </c>
      <c r="O930">
        <v>1</v>
      </c>
    </row>
    <row r="931" spans="1:15" x14ac:dyDescent="0.2">
      <c r="A931" t="s">
        <v>964</v>
      </c>
      <c r="B931" s="1">
        <v>46014.333333333336</v>
      </c>
      <c r="C931" t="s">
        <v>11</v>
      </c>
      <c r="D931" t="s">
        <v>12</v>
      </c>
      <c r="E931" t="s">
        <v>23</v>
      </c>
      <c r="F931">
        <v>3</v>
      </c>
      <c r="G931" t="s">
        <v>26</v>
      </c>
      <c r="H931">
        <v>4.4000000000000004</v>
      </c>
      <c r="I931">
        <v>16.5</v>
      </c>
      <c r="J931">
        <v>9</v>
      </c>
      <c r="K931" t="s">
        <v>15</v>
      </c>
      <c r="L931">
        <v>0</v>
      </c>
      <c r="M931" t="s">
        <v>31</v>
      </c>
      <c r="N931" t="s">
        <v>32</v>
      </c>
      <c r="O931">
        <v>1</v>
      </c>
    </row>
    <row r="932" spans="1:15" x14ac:dyDescent="0.2">
      <c r="A932" t="s">
        <v>965</v>
      </c>
      <c r="B932" s="1">
        <v>46003.791666666664</v>
      </c>
      <c r="C932" t="s">
        <v>20</v>
      </c>
      <c r="D932" t="s">
        <v>16</v>
      </c>
      <c r="E932" t="s">
        <v>25</v>
      </c>
      <c r="F932">
        <v>5</v>
      </c>
      <c r="G932" t="s">
        <v>14</v>
      </c>
      <c r="H932">
        <v>7</v>
      </c>
      <c r="I932">
        <v>13.2</v>
      </c>
      <c r="J932">
        <v>12</v>
      </c>
      <c r="K932" t="s">
        <v>15</v>
      </c>
      <c r="L932">
        <v>0</v>
      </c>
      <c r="M932" t="s">
        <v>31</v>
      </c>
      <c r="N932" t="s">
        <v>32</v>
      </c>
      <c r="O932">
        <v>1</v>
      </c>
    </row>
    <row r="933" spans="1:15" x14ac:dyDescent="0.2">
      <c r="A933" t="s">
        <v>966</v>
      </c>
      <c r="B933" s="1">
        <v>46035.541666666664</v>
      </c>
      <c r="C933" t="s">
        <v>11</v>
      </c>
      <c r="D933" t="s">
        <v>16</v>
      </c>
      <c r="E933" t="s">
        <v>25</v>
      </c>
      <c r="F933">
        <v>3</v>
      </c>
      <c r="G933" t="s">
        <v>26</v>
      </c>
      <c r="H933">
        <v>3.2</v>
      </c>
      <c r="I933">
        <v>6.8</v>
      </c>
      <c r="J933">
        <v>12</v>
      </c>
      <c r="K933" t="s">
        <v>19</v>
      </c>
      <c r="L933">
        <v>1</v>
      </c>
      <c r="M933" t="s">
        <v>31</v>
      </c>
      <c r="N933" t="s">
        <v>35</v>
      </c>
      <c r="O933">
        <v>1</v>
      </c>
    </row>
    <row r="934" spans="1:15" x14ac:dyDescent="0.2">
      <c r="A934" t="s">
        <v>967</v>
      </c>
      <c r="B934" s="1">
        <v>46045.5</v>
      </c>
      <c r="C934" t="s">
        <v>11</v>
      </c>
      <c r="D934" t="s">
        <v>16</v>
      </c>
      <c r="E934" t="s">
        <v>13</v>
      </c>
      <c r="F934">
        <v>5</v>
      </c>
      <c r="G934" t="s">
        <v>14</v>
      </c>
      <c r="H934">
        <v>1.5</v>
      </c>
      <c r="I934">
        <v>1</v>
      </c>
      <c r="J934">
        <v>12</v>
      </c>
      <c r="K934" t="s">
        <v>19</v>
      </c>
      <c r="L934">
        <v>1</v>
      </c>
      <c r="M934" t="s">
        <v>31</v>
      </c>
      <c r="N934" t="s">
        <v>35</v>
      </c>
      <c r="O934">
        <v>1</v>
      </c>
    </row>
    <row r="935" spans="1:15" x14ac:dyDescent="0.2">
      <c r="A935" t="s">
        <v>968</v>
      </c>
      <c r="B935" s="1">
        <v>46029.583333333336</v>
      </c>
      <c r="C935" t="s">
        <v>11</v>
      </c>
      <c r="D935" t="s">
        <v>16</v>
      </c>
      <c r="E935" t="s">
        <v>23</v>
      </c>
      <c r="F935">
        <v>3</v>
      </c>
      <c r="G935" t="s">
        <v>26</v>
      </c>
      <c r="H935">
        <v>7.8</v>
      </c>
      <c r="I935">
        <v>6.9</v>
      </c>
      <c r="J935">
        <v>12</v>
      </c>
      <c r="K935" t="s">
        <v>15</v>
      </c>
      <c r="L935">
        <v>0</v>
      </c>
      <c r="M935" t="s">
        <v>31</v>
      </c>
      <c r="N935" t="s">
        <v>32</v>
      </c>
      <c r="O935">
        <v>1</v>
      </c>
    </row>
    <row r="936" spans="1:15" x14ac:dyDescent="0.2">
      <c r="A936" t="s">
        <v>969</v>
      </c>
      <c r="B936" s="1">
        <v>45995.208333333336</v>
      </c>
      <c r="C936" t="s">
        <v>20</v>
      </c>
      <c r="D936" t="s">
        <v>16</v>
      </c>
      <c r="E936" t="s">
        <v>25</v>
      </c>
      <c r="F936">
        <v>4</v>
      </c>
      <c r="G936" t="s">
        <v>14</v>
      </c>
      <c r="H936">
        <v>3.9</v>
      </c>
      <c r="I936">
        <v>1.4</v>
      </c>
      <c r="J936">
        <v>9</v>
      </c>
      <c r="K936" t="s">
        <v>19</v>
      </c>
      <c r="L936">
        <v>1</v>
      </c>
      <c r="M936" t="s">
        <v>31</v>
      </c>
      <c r="N936" t="s">
        <v>35</v>
      </c>
      <c r="O936">
        <v>1</v>
      </c>
    </row>
    <row r="937" spans="1:15" x14ac:dyDescent="0.2">
      <c r="A937" t="s">
        <v>970</v>
      </c>
      <c r="B937" s="1">
        <v>46075.166666666664</v>
      </c>
      <c r="C937" t="s">
        <v>11</v>
      </c>
      <c r="D937" t="s">
        <v>17</v>
      </c>
      <c r="E937" t="s">
        <v>13</v>
      </c>
      <c r="F937">
        <v>4</v>
      </c>
      <c r="G937" t="s">
        <v>14</v>
      </c>
      <c r="H937">
        <v>4.8</v>
      </c>
      <c r="I937">
        <v>26.1</v>
      </c>
      <c r="J937">
        <v>11</v>
      </c>
      <c r="K937" t="s">
        <v>15</v>
      </c>
      <c r="L937">
        <v>0</v>
      </c>
      <c r="M937" t="s">
        <v>55</v>
      </c>
      <c r="N937" t="s">
        <v>32</v>
      </c>
      <c r="O937">
        <v>1</v>
      </c>
    </row>
    <row r="938" spans="1:15" x14ac:dyDescent="0.2">
      <c r="A938" t="s">
        <v>971</v>
      </c>
      <c r="B938" s="1">
        <v>45999.583333333336</v>
      </c>
      <c r="C938" t="s">
        <v>22</v>
      </c>
      <c r="D938" t="s">
        <v>12</v>
      </c>
      <c r="E938" t="s">
        <v>21</v>
      </c>
      <c r="F938">
        <v>4</v>
      </c>
      <c r="G938" t="s">
        <v>14</v>
      </c>
      <c r="H938">
        <v>7.3</v>
      </c>
      <c r="I938">
        <v>11.6</v>
      </c>
      <c r="J938">
        <v>9</v>
      </c>
      <c r="K938" t="s">
        <v>15</v>
      </c>
      <c r="L938">
        <v>0</v>
      </c>
      <c r="M938" t="s">
        <v>31</v>
      </c>
      <c r="N938" t="s">
        <v>32</v>
      </c>
      <c r="O938">
        <v>1</v>
      </c>
    </row>
    <row r="939" spans="1:15" x14ac:dyDescent="0.2">
      <c r="A939" t="s">
        <v>972</v>
      </c>
      <c r="B939" s="1">
        <v>46073.583333333336</v>
      </c>
      <c r="C939" t="s">
        <v>11</v>
      </c>
      <c r="D939" t="s">
        <v>17</v>
      </c>
      <c r="E939" t="s">
        <v>25</v>
      </c>
      <c r="F939">
        <v>3</v>
      </c>
      <c r="G939" t="s">
        <v>26</v>
      </c>
      <c r="H939">
        <v>1.6</v>
      </c>
      <c r="I939">
        <v>9.6999999999999993</v>
      </c>
      <c r="J939">
        <v>9</v>
      </c>
      <c r="K939" t="s">
        <v>19</v>
      </c>
      <c r="L939">
        <v>1</v>
      </c>
      <c r="M939" t="s">
        <v>31</v>
      </c>
      <c r="N939" t="s">
        <v>35</v>
      </c>
      <c r="O939">
        <v>1</v>
      </c>
    </row>
    <row r="940" spans="1:15" x14ac:dyDescent="0.2">
      <c r="A940" t="s">
        <v>973</v>
      </c>
      <c r="B940" s="1">
        <v>46069.291666666664</v>
      </c>
      <c r="C940" t="s">
        <v>20</v>
      </c>
      <c r="D940" t="s">
        <v>16</v>
      </c>
      <c r="E940" t="s">
        <v>18</v>
      </c>
      <c r="F940">
        <v>3</v>
      </c>
      <c r="G940" t="s">
        <v>26</v>
      </c>
      <c r="H940">
        <v>5.7</v>
      </c>
      <c r="I940">
        <v>19.600000000000001</v>
      </c>
      <c r="J940">
        <v>10</v>
      </c>
      <c r="K940" t="s">
        <v>15</v>
      </c>
      <c r="L940">
        <v>0</v>
      </c>
      <c r="M940" t="s">
        <v>31</v>
      </c>
      <c r="N940" t="s">
        <v>32</v>
      </c>
      <c r="O940">
        <v>1</v>
      </c>
    </row>
    <row r="941" spans="1:15" x14ac:dyDescent="0.2">
      <c r="A941" t="s">
        <v>974</v>
      </c>
      <c r="B941" s="1">
        <v>45995.5</v>
      </c>
      <c r="C941" t="s">
        <v>11</v>
      </c>
      <c r="D941" t="s">
        <v>12</v>
      </c>
      <c r="E941" t="s">
        <v>13</v>
      </c>
      <c r="F941">
        <v>4</v>
      </c>
      <c r="G941" t="s">
        <v>14</v>
      </c>
      <c r="H941">
        <v>2.7</v>
      </c>
      <c r="I941">
        <v>3.5</v>
      </c>
      <c r="J941">
        <v>11</v>
      </c>
      <c r="K941" t="s">
        <v>19</v>
      </c>
      <c r="L941">
        <v>1</v>
      </c>
      <c r="M941" t="s">
        <v>31</v>
      </c>
      <c r="N941" t="s">
        <v>35</v>
      </c>
      <c r="O941">
        <v>1</v>
      </c>
    </row>
    <row r="942" spans="1:15" x14ac:dyDescent="0.2">
      <c r="A942" t="s">
        <v>975</v>
      </c>
      <c r="B942" s="1">
        <v>46045.666666666664</v>
      </c>
      <c r="C942" t="s">
        <v>11</v>
      </c>
      <c r="D942" t="s">
        <v>12</v>
      </c>
      <c r="E942" t="s">
        <v>13</v>
      </c>
      <c r="F942">
        <v>5</v>
      </c>
      <c r="G942" t="s">
        <v>14</v>
      </c>
      <c r="H942">
        <v>3.9</v>
      </c>
      <c r="I942">
        <v>6.4</v>
      </c>
      <c r="J942">
        <v>10</v>
      </c>
      <c r="K942" t="s">
        <v>19</v>
      </c>
      <c r="L942">
        <v>1</v>
      </c>
      <c r="M942" t="s">
        <v>31</v>
      </c>
      <c r="N942" t="s">
        <v>35</v>
      </c>
      <c r="O942">
        <v>1</v>
      </c>
    </row>
    <row r="943" spans="1:15" x14ac:dyDescent="0.2">
      <c r="A943" t="s">
        <v>976</v>
      </c>
      <c r="B943" s="1">
        <v>45997.208333333336</v>
      </c>
      <c r="C943" t="s">
        <v>11</v>
      </c>
      <c r="D943" t="s">
        <v>12</v>
      </c>
      <c r="E943" t="s">
        <v>25</v>
      </c>
      <c r="F943">
        <v>5</v>
      </c>
      <c r="G943" t="s">
        <v>14</v>
      </c>
      <c r="H943">
        <v>4.4000000000000004</v>
      </c>
      <c r="I943">
        <v>13</v>
      </c>
      <c r="J943">
        <v>9</v>
      </c>
      <c r="K943" t="s">
        <v>15</v>
      </c>
      <c r="L943">
        <v>0</v>
      </c>
      <c r="M943" t="s">
        <v>31</v>
      </c>
      <c r="N943" t="s">
        <v>32</v>
      </c>
      <c r="O943">
        <v>1</v>
      </c>
    </row>
    <row r="944" spans="1:15" x14ac:dyDescent="0.2">
      <c r="A944" t="s">
        <v>977</v>
      </c>
      <c r="B944" s="1">
        <v>46062.583333333336</v>
      </c>
      <c r="C944" t="s">
        <v>11</v>
      </c>
      <c r="D944" t="s">
        <v>17</v>
      </c>
      <c r="E944" t="s">
        <v>13</v>
      </c>
      <c r="F944">
        <v>2</v>
      </c>
      <c r="G944" t="s">
        <v>24</v>
      </c>
      <c r="H944">
        <v>0.4</v>
      </c>
      <c r="I944">
        <v>20.7</v>
      </c>
      <c r="J944">
        <v>12</v>
      </c>
      <c r="K944" t="s">
        <v>19</v>
      </c>
      <c r="L944">
        <v>1</v>
      </c>
      <c r="M944" t="s">
        <v>31</v>
      </c>
      <c r="N944" t="s">
        <v>41</v>
      </c>
      <c r="O944">
        <v>1</v>
      </c>
    </row>
    <row r="945" spans="1:15" x14ac:dyDescent="0.2">
      <c r="A945" t="s">
        <v>978</v>
      </c>
      <c r="B945" s="1">
        <v>46071.25</v>
      </c>
      <c r="C945" t="s">
        <v>11</v>
      </c>
      <c r="D945" t="s">
        <v>16</v>
      </c>
      <c r="E945" t="s">
        <v>25</v>
      </c>
      <c r="F945">
        <v>4</v>
      </c>
      <c r="G945" t="s">
        <v>14</v>
      </c>
      <c r="H945">
        <v>2.2999999999999998</v>
      </c>
      <c r="I945">
        <v>16.5</v>
      </c>
      <c r="J945">
        <v>11</v>
      </c>
      <c r="K945" t="s">
        <v>19</v>
      </c>
      <c r="L945">
        <v>1</v>
      </c>
      <c r="M945" t="s">
        <v>31</v>
      </c>
      <c r="N945" t="s">
        <v>35</v>
      </c>
      <c r="O945">
        <v>1</v>
      </c>
    </row>
    <row r="946" spans="1:15" x14ac:dyDescent="0.2">
      <c r="A946" t="s">
        <v>979</v>
      </c>
      <c r="B946" s="1">
        <v>45997.833333333336</v>
      </c>
      <c r="C946" t="s">
        <v>11</v>
      </c>
      <c r="D946" t="s">
        <v>17</v>
      </c>
      <c r="E946" t="s">
        <v>21</v>
      </c>
      <c r="F946">
        <v>2</v>
      </c>
      <c r="G946" t="s">
        <v>24</v>
      </c>
      <c r="H946">
        <v>7.6</v>
      </c>
      <c r="I946">
        <v>14.5</v>
      </c>
      <c r="J946">
        <v>12</v>
      </c>
      <c r="K946" t="s">
        <v>15</v>
      </c>
      <c r="L946">
        <v>0</v>
      </c>
      <c r="M946" t="s">
        <v>31</v>
      </c>
      <c r="N946" t="s">
        <v>32</v>
      </c>
      <c r="O946">
        <v>1</v>
      </c>
    </row>
    <row r="947" spans="1:15" x14ac:dyDescent="0.2">
      <c r="A947" t="s">
        <v>980</v>
      </c>
      <c r="B947" s="1">
        <v>46037.625</v>
      </c>
      <c r="C947" t="s">
        <v>22</v>
      </c>
      <c r="D947" t="s">
        <v>16</v>
      </c>
      <c r="E947" t="s">
        <v>13</v>
      </c>
      <c r="F947">
        <v>1</v>
      </c>
      <c r="G947" t="s">
        <v>24</v>
      </c>
      <c r="H947">
        <v>6.4</v>
      </c>
      <c r="I947">
        <v>13.1</v>
      </c>
      <c r="J947">
        <v>9</v>
      </c>
      <c r="K947" t="s">
        <v>15</v>
      </c>
      <c r="L947">
        <v>0</v>
      </c>
      <c r="M947" t="s">
        <v>31</v>
      </c>
      <c r="N947" t="s">
        <v>32</v>
      </c>
      <c r="O947">
        <v>1</v>
      </c>
    </row>
    <row r="948" spans="1:15" x14ac:dyDescent="0.2">
      <c r="A948" t="s">
        <v>981</v>
      </c>
      <c r="B948" s="1">
        <v>45998.083333333336</v>
      </c>
      <c r="C948" t="s">
        <v>20</v>
      </c>
      <c r="D948" t="s">
        <v>16</v>
      </c>
      <c r="E948" t="s">
        <v>23</v>
      </c>
      <c r="F948">
        <v>5</v>
      </c>
      <c r="G948" t="s">
        <v>14</v>
      </c>
      <c r="H948">
        <v>4</v>
      </c>
      <c r="I948">
        <v>15.7</v>
      </c>
      <c r="J948">
        <v>9</v>
      </c>
      <c r="K948" t="s">
        <v>15</v>
      </c>
      <c r="L948">
        <v>0</v>
      </c>
      <c r="M948" t="s">
        <v>31</v>
      </c>
      <c r="N948" t="s">
        <v>35</v>
      </c>
      <c r="O948">
        <v>1</v>
      </c>
    </row>
    <row r="949" spans="1:15" x14ac:dyDescent="0.2">
      <c r="A949" t="s">
        <v>982</v>
      </c>
      <c r="B949" s="1">
        <v>45997.5</v>
      </c>
      <c r="C949" t="s">
        <v>11</v>
      </c>
      <c r="D949" t="s">
        <v>12</v>
      </c>
      <c r="E949" t="s">
        <v>23</v>
      </c>
      <c r="F949">
        <v>5</v>
      </c>
      <c r="G949" t="s">
        <v>14</v>
      </c>
      <c r="H949">
        <v>4.8</v>
      </c>
      <c r="I949">
        <v>14.1</v>
      </c>
      <c r="J949">
        <v>9</v>
      </c>
      <c r="K949" t="s">
        <v>15</v>
      </c>
      <c r="L949">
        <v>0</v>
      </c>
      <c r="M949" t="s">
        <v>31</v>
      </c>
      <c r="N949" t="s">
        <v>32</v>
      </c>
      <c r="O949">
        <v>1</v>
      </c>
    </row>
    <row r="950" spans="1:15" x14ac:dyDescent="0.2">
      <c r="A950" t="s">
        <v>983</v>
      </c>
      <c r="B950" s="1">
        <v>46065.208333333336</v>
      </c>
      <c r="C950" t="s">
        <v>11</v>
      </c>
      <c r="D950" t="s">
        <v>12</v>
      </c>
      <c r="E950" t="s">
        <v>23</v>
      </c>
      <c r="F950">
        <v>3</v>
      </c>
      <c r="G950" t="s">
        <v>26</v>
      </c>
      <c r="H950">
        <v>3.5</v>
      </c>
      <c r="I950">
        <v>4.3</v>
      </c>
      <c r="J950">
        <v>11</v>
      </c>
      <c r="K950" t="s">
        <v>19</v>
      </c>
      <c r="L950">
        <v>1</v>
      </c>
      <c r="M950" t="s">
        <v>31</v>
      </c>
      <c r="N950" t="s">
        <v>35</v>
      </c>
      <c r="O950">
        <v>1</v>
      </c>
    </row>
    <row r="951" spans="1:15" x14ac:dyDescent="0.2">
      <c r="A951" t="s">
        <v>984</v>
      </c>
      <c r="B951" s="1">
        <v>46071.625</v>
      </c>
      <c r="C951" t="s">
        <v>11</v>
      </c>
      <c r="D951" t="s">
        <v>16</v>
      </c>
      <c r="E951" t="s">
        <v>18</v>
      </c>
      <c r="F951">
        <v>3</v>
      </c>
      <c r="G951" t="s">
        <v>26</v>
      </c>
      <c r="H951">
        <v>7.6</v>
      </c>
      <c r="I951">
        <v>12.9</v>
      </c>
      <c r="J951">
        <v>10</v>
      </c>
      <c r="K951" t="s">
        <v>15</v>
      </c>
      <c r="L951">
        <v>0</v>
      </c>
      <c r="M951" t="s">
        <v>31</v>
      </c>
      <c r="N951" t="s">
        <v>32</v>
      </c>
      <c r="O951">
        <v>1</v>
      </c>
    </row>
    <row r="952" spans="1:15" x14ac:dyDescent="0.2">
      <c r="A952" t="s">
        <v>985</v>
      </c>
      <c r="B952" s="1">
        <v>46010.5</v>
      </c>
      <c r="C952" t="s">
        <v>11</v>
      </c>
      <c r="D952" t="s">
        <v>12</v>
      </c>
      <c r="E952" t="s">
        <v>21</v>
      </c>
      <c r="F952">
        <v>1</v>
      </c>
      <c r="G952" t="s">
        <v>24</v>
      </c>
      <c r="H952">
        <v>3.7</v>
      </c>
      <c r="I952">
        <v>3.9</v>
      </c>
      <c r="J952">
        <v>10</v>
      </c>
      <c r="K952" t="s">
        <v>19</v>
      </c>
      <c r="L952">
        <v>1</v>
      </c>
      <c r="M952" t="s">
        <v>31</v>
      </c>
      <c r="N952" t="s">
        <v>35</v>
      </c>
      <c r="O952">
        <v>1</v>
      </c>
    </row>
    <row r="953" spans="1:15" x14ac:dyDescent="0.2">
      <c r="A953" t="s">
        <v>986</v>
      </c>
      <c r="B953" s="1">
        <v>45999.583333333336</v>
      </c>
      <c r="C953" t="s">
        <v>11</v>
      </c>
      <c r="D953" t="s">
        <v>12</v>
      </c>
      <c r="E953" t="s">
        <v>25</v>
      </c>
      <c r="F953">
        <v>5</v>
      </c>
      <c r="G953" t="s">
        <v>14</v>
      </c>
      <c r="H953">
        <v>4.8</v>
      </c>
      <c r="I953">
        <v>13.1</v>
      </c>
      <c r="J953">
        <v>12</v>
      </c>
      <c r="K953" t="s">
        <v>15</v>
      </c>
      <c r="L953">
        <v>0</v>
      </c>
      <c r="M953" t="s">
        <v>31</v>
      </c>
      <c r="N953" t="s">
        <v>32</v>
      </c>
      <c r="O953">
        <v>1</v>
      </c>
    </row>
    <row r="954" spans="1:15" x14ac:dyDescent="0.2">
      <c r="A954" t="s">
        <v>987</v>
      </c>
      <c r="B954" s="1">
        <v>46065.125</v>
      </c>
      <c r="C954" t="s">
        <v>20</v>
      </c>
      <c r="D954" t="s">
        <v>16</v>
      </c>
      <c r="E954" t="s">
        <v>25</v>
      </c>
      <c r="F954">
        <v>5</v>
      </c>
      <c r="G954" t="s">
        <v>14</v>
      </c>
      <c r="H954">
        <v>7.1</v>
      </c>
      <c r="I954">
        <v>8.6999999999999993</v>
      </c>
      <c r="J954">
        <v>11</v>
      </c>
      <c r="K954" t="s">
        <v>15</v>
      </c>
      <c r="L954">
        <v>0</v>
      </c>
      <c r="M954" t="s">
        <v>31</v>
      </c>
      <c r="N954" t="s">
        <v>32</v>
      </c>
      <c r="O954">
        <v>1</v>
      </c>
    </row>
    <row r="955" spans="1:15" x14ac:dyDescent="0.2">
      <c r="A955" t="s">
        <v>988</v>
      </c>
      <c r="B955" s="1">
        <v>45992.041666666664</v>
      </c>
      <c r="C955" t="s">
        <v>11</v>
      </c>
      <c r="D955" t="s">
        <v>16</v>
      </c>
      <c r="E955" t="s">
        <v>23</v>
      </c>
      <c r="F955">
        <v>3</v>
      </c>
      <c r="G955" t="s">
        <v>26</v>
      </c>
      <c r="H955">
        <v>2.2999999999999998</v>
      </c>
      <c r="I955">
        <v>32.799999999999997</v>
      </c>
      <c r="J955">
        <v>12</v>
      </c>
      <c r="K955" t="s">
        <v>19</v>
      </c>
      <c r="L955">
        <v>1</v>
      </c>
      <c r="M955" t="s">
        <v>55</v>
      </c>
      <c r="N955" t="s">
        <v>35</v>
      </c>
      <c r="O955">
        <v>1</v>
      </c>
    </row>
    <row r="956" spans="1:15" x14ac:dyDescent="0.2">
      <c r="A956" t="s">
        <v>989</v>
      </c>
      <c r="B956" s="1">
        <v>45994.333333333336</v>
      </c>
      <c r="C956" t="s">
        <v>11</v>
      </c>
      <c r="D956" t="s">
        <v>17</v>
      </c>
      <c r="E956" t="s">
        <v>18</v>
      </c>
      <c r="F956">
        <v>3</v>
      </c>
      <c r="G956" t="s">
        <v>26</v>
      </c>
      <c r="H956">
        <v>8.1</v>
      </c>
      <c r="I956">
        <v>12.2</v>
      </c>
      <c r="J956">
        <v>12</v>
      </c>
      <c r="K956" t="s">
        <v>15</v>
      </c>
      <c r="L956">
        <v>0</v>
      </c>
      <c r="M956" t="s">
        <v>31</v>
      </c>
      <c r="N956" t="s">
        <v>32</v>
      </c>
      <c r="O956">
        <v>1</v>
      </c>
    </row>
    <row r="957" spans="1:15" x14ac:dyDescent="0.2">
      <c r="A957" t="s">
        <v>990</v>
      </c>
      <c r="B957" s="1">
        <v>46070.166666666664</v>
      </c>
      <c r="C957" t="s">
        <v>11</v>
      </c>
      <c r="D957" t="s">
        <v>17</v>
      </c>
      <c r="E957" t="s">
        <v>25</v>
      </c>
      <c r="F957">
        <v>5</v>
      </c>
      <c r="G957" t="s">
        <v>14</v>
      </c>
      <c r="H957">
        <v>0.4</v>
      </c>
      <c r="I957">
        <v>1.3</v>
      </c>
      <c r="J957">
        <v>10</v>
      </c>
      <c r="K957" t="s">
        <v>19</v>
      </c>
      <c r="L957">
        <v>1</v>
      </c>
      <c r="M957" t="s">
        <v>31</v>
      </c>
      <c r="N957" t="s">
        <v>41</v>
      </c>
      <c r="O957">
        <v>1</v>
      </c>
    </row>
    <row r="958" spans="1:15" x14ac:dyDescent="0.2">
      <c r="A958" t="s">
        <v>991</v>
      </c>
      <c r="B958" s="1">
        <v>45996.458333333336</v>
      </c>
      <c r="C958" t="s">
        <v>11</v>
      </c>
      <c r="D958" t="s">
        <v>16</v>
      </c>
      <c r="E958" t="s">
        <v>25</v>
      </c>
      <c r="F958">
        <v>5</v>
      </c>
      <c r="G958" t="s">
        <v>14</v>
      </c>
      <c r="H958">
        <v>8.3000000000000007</v>
      </c>
      <c r="I958">
        <v>11.4</v>
      </c>
      <c r="J958">
        <v>11</v>
      </c>
      <c r="K958" t="s">
        <v>15</v>
      </c>
      <c r="L958">
        <v>0</v>
      </c>
      <c r="M958" t="s">
        <v>31</v>
      </c>
      <c r="N958" t="s">
        <v>32</v>
      </c>
      <c r="O958">
        <v>1</v>
      </c>
    </row>
    <row r="959" spans="1:15" x14ac:dyDescent="0.2">
      <c r="A959" t="s">
        <v>992</v>
      </c>
      <c r="B959" s="1">
        <v>46016.541666666664</v>
      </c>
      <c r="C959" t="s">
        <v>22</v>
      </c>
      <c r="D959" t="s">
        <v>16</v>
      </c>
      <c r="E959" t="s">
        <v>21</v>
      </c>
      <c r="F959">
        <v>4</v>
      </c>
      <c r="G959" t="s">
        <v>14</v>
      </c>
      <c r="H959">
        <v>3.3</v>
      </c>
      <c r="I959">
        <v>16.7</v>
      </c>
      <c r="J959">
        <v>9</v>
      </c>
      <c r="K959" t="s">
        <v>19</v>
      </c>
      <c r="L959">
        <v>1</v>
      </c>
      <c r="M959" t="s">
        <v>31</v>
      </c>
      <c r="N959" t="s">
        <v>35</v>
      </c>
      <c r="O959">
        <v>1</v>
      </c>
    </row>
    <row r="960" spans="1:15" x14ac:dyDescent="0.2">
      <c r="A960" t="s">
        <v>993</v>
      </c>
      <c r="B960" s="1">
        <v>46079.541666666664</v>
      </c>
      <c r="C960" t="s">
        <v>20</v>
      </c>
      <c r="D960" t="s">
        <v>16</v>
      </c>
      <c r="E960" t="s">
        <v>13</v>
      </c>
      <c r="F960">
        <v>2</v>
      </c>
      <c r="G960" t="s">
        <v>24</v>
      </c>
      <c r="H960">
        <v>3.6</v>
      </c>
      <c r="I960">
        <v>25.9</v>
      </c>
      <c r="J960">
        <v>12</v>
      </c>
      <c r="K960" t="s">
        <v>19</v>
      </c>
      <c r="L960">
        <v>1</v>
      </c>
      <c r="M960" t="s">
        <v>55</v>
      </c>
      <c r="N960" t="s">
        <v>35</v>
      </c>
      <c r="O960">
        <v>1</v>
      </c>
    </row>
    <row r="961" spans="1:15" x14ac:dyDescent="0.2">
      <c r="A961" t="s">
        <v>994</v>
      </c>
      <c r="B961" s="1">
        <v>46042.791666666664</v>
      </c>
      <c r="C961" t="s">
        <v>11</v>
      </c>
      <c r="D961" t="s">
        <v>17</v>
      </c>
      <c r="E961" t="s">
        <v>21</v>
      </c>
      <c r="F961">
        <v>2</v>
      </c>
      <c r="G961" t="s">
        <v>24</v>
      </c>
      <c r="H961">
        <v>0.1</v>
      </c>
      <c r="I961">
        <v>7.8</v>
      </c>
      <c r="J961">
        <v>9</v>
      </c>
      <c r="K961" t="s">
        <v>19</v>
      </c>
      <c r="L961">
        <v>1</v>
      </c>
      <c r="M961" t="s">
        <v>31</v>
      </c>
      <c r="N961" t="s">
        <v>41</v>
      </c>
      <c r="O961">
        <v>1</v>
      </c>
    </row>
    <row r="962" spans="1:15" x14ac:dyDescent="0.2">
      <c r="A962" t="s">
        <v>995</v>
      </c>
      <c r="B962" s="1">
        <v>46054.583333333336</v>
      </c>
      <c r="C962" t="s">
        <v>20</v>
      </c>
      <c r="D962" t="s">
        <v>12</v>
      </c>
      <c r="E962" t="s">
        <v>13</v>
      </c>
      <c r="F962">
        <v>5</v>
      </c>
      <c r="G962" t="s">
        <v>14</v>
      </c>
      <c r="H962">
        <v>3.1</v>
      </c>
      <c r="I962">
        <v>1</v>
      </c>
      <c r="J962">
        <v>11</v>
      </c>
      <c r="K962" t="s">
        <v>19</v>
      </c>
      <c r="L962">
        <v>1</v>
      </c>
      <c r="M962" t="s">
        <v>31</v>
      </c>
      <c r="N962" t="s">
        <v>35</v>
      </c>
      <c r="O962">
        <v>1</v>
      </c>
    </row>
    <row r="963" spans="1:15" x14ac:dyDescent="0.2">
      <c r="A963" t="s">
        <v>996</v>
      </c>
      <c r="B963" s="1">
        <v>46019.75</v>
      </c>
      <c r="C963" t="s">
        <v>11</v>
      </c>
      <c r="D963" t="s">
        <v>12</v>
      </c>
      <c r="E963" t="s">
        <v>23</v>
      </c>
      <c r="F963">
        <v>4</v>
      </c>
      <c r="G963" t="s">
        <v>14</v>
      </c>
      <c r="H963">
        <v>1.6</v>
      </c>
      <c r="I963">
        <v>19</v>
      </c>
      <c r="J963">
        <v>12</v>
      </c>
      <c r="K963" t="s">
        <v>19</v>
      </c>
      <c r="L963">
        <v>1</v>
      </c>
      <c r="M963" t="s">
        <v>31</v>
      </c>
      <c r="N963" t="s">
        <v>35</v>
      </c>
      <c r="O963">
        <v>1</v>
      </c>
    </row>
    <row r="964" spans="1:15" x14ac:dyDescent="0.2">
      <c r="A964" t="s">
        <v>997</v>
      </c>
      <c r="B964" s="1">
        <v>46053.833333333336</v>
      </c>
      <c r="C964" t="s">
        <v>11</v>
      </c>
      <c r="D964" t="s">
        <v>17</v>
      </c>
      <c r="E964" t="s">
        <v>23</v>
      </c>
      <c r="F964">
        <v>1</v>
      </c>
      <c r="G964" t="s">
        <v>24</v>
      </c>
      <c r="H964">
        <v>2.7</v>
      </c>
      <c r="I964">
        <v>1.5</v>
      </c>
      <c r="J964">
        <v>9</v>
      </c>
      <c r="K964" t="s">
        <v>19</v>
      </c>
      <c r="L964">
        <v>1</v>
      </c>
      <c r="M964" t="s">
        <v>31</v>
      </c>
      <c r="N964" t="s">
        <v>35</v>
      </c>
      <c r="O964">
        <v>1</v>
      </c>
    </row>
    <row r="965" spans="1:15" x14ac:dyDescent="0.2">
      <c r="A965" t="s">
        <v>998</v>
      </c>
      <c r="B965" s="1">
        <v>46062.916666666664</v>
      </c>
      <c r="C965" t="s">
        <v>11</v>
      </c>
      <c r="D965" t="s">
        <v>12</v>
      </c>
      <c r="E965" t="s">
        <v>18</v>
      </c>
      <c r="F965">
        <v>5</v>
      </c>
      <c r="G965" t="s">
        <v>14</v>
      </c>
      <c r="H965">
        <v>3.9</v>
      </c>
      <c r="I965">
        <v>9</v>
      </c>
      <c r="J965">
        <v>9</v>
      </c>
      <c r="K965" t="s">
        <v>19</v>
      </c>
      <c r="L965">
        <v>1</v>
      </c>
      <c r="M965" t="s">
        <v>31</v>
      </c>
      <c r="N965" t="s">
        <v>35</v>
      </c>
      <c r="O965">
        <v>1</v>
      </c>
    </row>
    <row r="966" spans="1:15" x14ac:dyDescent="0.2">
      <c r="A966" t="s">
        <v>999</v>
      </c>
      <c r="B966" s="1">
        <v>46044.875</v>
      </c>
      <c r="C966" t="s">
        <v>11</v>
      </c>
      <c r="D966" t="s">
        <v>16</v>
      </c>
      <c r="E966" t="s">
        <v>21</v>
      </c>
      <c r="F966">
        <v>1</v>
      </c>
      <c r="G966" t="s">
        <v>24</v>
      </c>
      <c r="H966">
        <v>6.6</v>
      </c>
      <c r="I966">
        <v>10.4</v>
      </c>
      <c r="J966">
        <v>10</v>
      </c>
      <c r="K966" t="s">
        <v>15</v>
      </c>
      <c r="L966">
        <v>0</v>
      </c>
      <c r="M966" t="s">
        <v>31</v>
      </c>
      <c r="N966" t="s">
        <v>32</v>
      </c>
      <c r="O966">
        <v>1</v>
      </c>
    </row>
    <row r="967" spans="1:15" x14ac:dyDescent="0.2">
      <c r="A967" t="s">
        <v>1000</v>
      </c>
      <c r="B967" s="1">
        <v>46017.291666666664</v>
      </c>
      <c r="C967" t="s">
        <v>11</v>
      </c>
      <c r="D967" t="s">
        <v>16</v>
      </c>
      <c r="E967" t="s">
        <v>25</v>
      </c>
      <c r="F967">
        <v>5</v>
      </c>
      <c r="G967" t="s">
        <v>14</v>
      </c>
      <c r="H967">
        <v>4.7</v>
      </c>
      <c r="I967">
        <v>11.9</v>
      </c>
      <c r="J967">
        <v>11</v>
      </c>
      <c r="K967" t="s">
        <v>15</v>
      </c>
      <c r="L967">
        <v>0</v>
      </c>
      <c r="M967" t="s">
        <v>31</v>
      </c>
      <c r="N967" t="s">
        <v>32</v>
      </c>
      <c r="O967">
        <v>1</v>
      </c>
    </row>
    <row r="968" spans="1:15" x14ac:dyDescent="0.2">
      <c r="A968" t="s">
        <v>1001</v>
      </c>
      <c r="B968" s="1">
        <v>46014.958333333336</v>
      </c>
      <c r="C968" t="s">
        <v>11</v>
      </c>
      <c r="D968" t="s">
        <v>12</v>
      </c>
      <c r="E968" t="s">
        <v>25</v>
      </c>
      <c r="F968">
        <v>4</v>
      </c>
      <c r="G968" t="s">
        <v>14</v>
      </c>
      <c r="H968">
        <v>5</v>
      </c>
      <c r="I968">
        <v>18</v>
      </c>
      <c r="J968">
        <v>11</v>
      </c>
      <c r="K968" t="s">
        <v>15</v>
      </c>
      <c r="L968">
        <v>0</v>
      </c>
      <c r="M968" t="s">
        <v>31</v>
      </c>
      <c r="N968" t="s">
        <v>32</v>
      </c>
      <c r="O968">
        <v>1</v>
      </c>
    </row>
    <row r="969" spans="1:15" x14ac:dyDescent="0.2">
      <c r="A969" t="s">
        <v>1002</v>
      </c>
      <c r="B969" s="1">
        <v>45997.583333333336</v>
      </c>
      <c r="C969" t="s">
        <v>11</v>
      </c>
      <c r="D969" t="s">
        <v>12</v>
      </c>
      <c r="E969" t="s">
        <v>25</v>
      </c>
      <c r="F969">
        <v>2</v>
      </c>
      <c r="G969" t="s">
        <v>24</v>
      </c>
      <c r="H969">
        <v>1.5</v>
      </c>
      <c r="I969">
        <v>7</v>
      </c>
      <c r="J969">
        <v>11</v>
      </c>
      <c r="K969" t="s">
        <v>19</v>
      </c>
      <c r="L969">
        <v>1</v>
      </c>
      <c r="M969" t="s">
        <v>31</v>
      </c>
      <c r="N969" t="s">
        <v>35</v>
      </c>
      <c r="O969">
        <v>1</v>
      </c>
    </row>
    <row r="970" spans="1:15" x14ac:dyDescent="0.2">
      <c r="A970" t="s">
        <v>1003</v>
      </c>
      <c r="B970" s="1">
        <v>46002.833333333336</v>
      </c>
      <c r="C970" t="s">
        <v>11</v>
      </c>
      <c r="D970" t="s">
        <v>12</v>
      </c>
      <c r="E970" t="s">
        <v>18</v>
      </c>
      <c r="F970">
        <v>5</v>
      </c>
      <c r="G970" t="s">
        <v>14</v>
      </c>
      <c r="H970">
        <v>2</v>
      </c>
      <c r="I970">
        <v>10.3</v>
      </c>
      <c r="J970">
        <v>12</v>
      </c>
      <c r="K970" t="s">
        <v>19</v>
      </c>
      <c r="L970">
        <v>1</v>
      </c>
      <c r="M970" t="s">
        <v>31</v>
      </c>
      <c r="N970" t="s">
        <v>35</v>
      </c>
      <c r="O970">
        <v>1</v>
      </c>
    </row>
    <row r="971" spans="1:15" x14ac:dyDescent="0.2">
      <c r="A971" t="s">
        <v>1004</v>
      </c>
      <c r="B971" s="1">
        <v>46005.5</v>
      </c>
      <c r="C971" t="s">
        <v>11</v>
      </c>
      <c r="D971" t="s">
        <v>12</v>
      </c>
      <c r="E971" t="s">
        <v>23</v>
      </c>
      <c r="F971">
        <v>4</v>
      </c>
      <c r="G971" t="s">
        <v>14</v>
      </c>
      <c r="H971">
        <v>8.6999999999999993</v>
      </c>
      <c r="I971">
        <v>12.4</v>
      </c>
      <c r="J971">
        <v>10</v>
      </c>
      <c r="K971" t="s">
        <v>15</v>
      </c>
      <c r="L971">
        <v>0</v>
      </c>
      <c r="M971" t="s">
        <v>31</v>
      </c>
      <c r="N971" t="s">
        <v>32</v>
      </c>
      <c r="O971">
        <v>1</v>
      </c>
    </row>
    <row r="972" spans="1:15" x14ac:dyDescent="0.2">
      <c r="A972" t="s">
        <v>1005</v>
      </c>
      <c r="B972" s="1">
        <v>46062.791666666664</v>
      </c>
      <c r="C972" t="s">
        <v>11</v>
      </c>
      <c r="D972" t="s">
        <v>12</v>
      </c>
      <c r="E972" t="s">
        <v>23</v>
      </c>
      <c r="F972">
        <v>5</v>
      </c>
      <c r="G972" t="s">
        <v>14</v>
      </c>
      <c r="H972">
        <v>2.4</v>
      </c>
      <c r="I972">
        <v>13.7</v>
      </c>
      <c r="J972">
        <v>12</v>
      </c>
      <c r="K972" t="s">
        <v>19</v>
      </c>
      <c r="L972">
        <v>1</v>
      </c>
      <c r="M972" t="s">
        <v>31</v>
      </c>
      <c r="N972" t="s">
        <v>35</v>
      </c>
      <c r="O972">
        <v>1</v>
      </c>
    </row>
    <row r="973" spans="1:15" x14ac:dyDescent="0.2">
      <c r="A973" t="s">
        <v>1006</v>
      </c>
      <c r="B973" s="1">
        <v>46058.083333333336</v>
      </c>
      <c r="C973" t="s">
        <v>11</v>
      </c>
      <c r="D973" t="s">
        <v>17</v>
      </c>
      <c r="E973" t="s">
        <v>13</v>
      </c>
      <c r="F973">
        <v>4</v>
      </c>
      <c r="G973" t="s">
        <v>14</v>
      </c>
      <c r="H973">
        <v>8.3000000000000007</v>
      </c>
      <c r="I973">
        <v>13.3</v>
      </c>
      <c r="J973">
        <v>11</v>
      </c>
      <c r="K973" t="s">
        <v>15</v>
      </c>
      <c r="L973">
        <v>0</v>
      </c>
      <c r="M973" t="s">
        <v>31</v>
      </c>
      <c r="N973" t="s">
        <v>32</v>
      </c>
      <c r="O973">
        <v>1</v>
      </c>
    </row>
    <row r="974" spans="1:15" x14ac:dyDescent="0.2">
      <c r="A974" t="s">
        <v>1007</v>
      </c>
      <c r="B974" s="1">
        <v>46002.791666666664</v>
      </c>
      <c r="C974" t="s">
        <v>11</v>
      </c>
      <c r="D974" t="s">
        <v>12</v>
      </c>
      <c r="E974" t="s">
        <v>21</v>
      </c>
      <c r="F974">
        <v>4</v>
      </c>
      <c r="G974" t="s">
        <v>14</v>
      </c>
      <c r="H974">
        <v>3.6</v>
      </c>
      <c r="I974">
        <v>16</v>
      </c>
      <c r="J974">
        <v>12</v>
      </c>
      <c r="K974" t="s">
        <v>19</v>
      </c>
      <c r="L974">
        <v>1</v>
      </c>
      <c r="M974" t="s">
        <v>31</v>
      </c>
      <c r="N974" t="s">
        <v>35</v>
      </c>
      <c r="O974">
        <v>1</v>
      </c>
    </row>
    <row r="975" spans="1:15" x14ac:dyDescent="0.2">
      <c r="A975" t="s">
        <v>1008</v>
      </c>
      <c r="B975" s="1">
        <v>46025.958333333336</v>
      </c>
      <c r="C975" t="s">
        <v>11</v>
      </c>
      <c r="D975" t="s">
        <v>16</v>
      </c>
      <c r="E975" t="s">
        <v>25</v>
      </c>
      <c r="F975">
        <v>5</v>
      </c>
      <c r="G975" t="s">
        <v>14</v>
      </c>
      <c r="H975">
        <v>4.2</v>
      </c>
      <c r="I975">
        <v>19.3</v>
      </c>
      <c r="J975">
        <v>9</v>
      </c>
      <c r="K975" t="s">
        <v>15</v>
      </c>
      <c r="L975">
        <v>0</v>
      </c>
      <c r="M975" t="s">
        <v>31</v>
      </c>
      <c r="N975" t="s">
        <v>32</v>
      </c>
      <c r="O975">
        <v>1</v>
      </c>
    </row>
    <row r="976" spans="1:15" x14ac:dyDescent="0.2">
      <c r="A976" t="s">
        <v>1009</v>
      </c>
      <c r="B976" s="1">
        <v>46029.541666666664</v>
      </c>
      <c r="C976" t="s">
        <v>22</v>
      </c>
      <c r="D976" t="s">
        <v>12</v>
      </c>
      <c r="E976" t="s">
        <v>23</v>
      </c>
      <c r="F976">
        <v>4</v>
      </c>
      <c r="G976" t="s">
        <v>14</v>
      </c>
      <c r="H976">
        <v>6.9</v>
      </c>
      <c r="I976">
        <v>15.6</v>
      </c>
      <c r="J976">
        <v>12</v>
      </c>
      <c r="K976" t="s">
        <v>15</v>
      </c>
      <c r="L976">
        <v>0</v>
      </c>
      <c r="M976" t="s">
        <v>31</v>
      </c>
      <c r="N976" t="s">
        <v>32</v>
      </c>
      <c r="O976">
        <v>1</v>
      </c>
    </row>
    <row r="977" spans="1:15" x14ac:dyDescent="0.2">
      <c r="A977" t="s">
        <v>1010</v>
      </c>
      <c r="B977" s="1">
        <v>45995.041666666664</v>
      </c>
      <c r="C977" t="s">
        <v>11</v>
      </c>
      <c r="D977" t="s">
        <v>17</v>
      </c>
      <c r="E977" t="s">
        <v>13</v>
      </c>
      <c r="F977">
        <v>5</v>
      </c>
      <c r="G977" t="s">
        <v>14</v>
      </c>
      <c r="H977">
        <v>7.4</v>
      </c>
      <c r="I977">
        <v>16.100000000000001</v>
      </c>
      <c r="J977">
        <v>12</v>
      </c>
      <c r="K977" t="s">
        <v>15</v>
      </c>
      <c r="L977">
        <v>0</v>
      </c>
      <c r="M977" t="s">
        <v>31</v>
      </c>
      <c r="N977" t="s">
        <v>32</v>
      </c>
      <c r="O977">
        <v>1</v>
      </c>
    </row>
    <row r="978" spans="1:15" x14ac:dyDescent="0.2">
      <c r="A978" t="s">
        <v>1011</v>
      </c>
      <c r="B978" s="1">
        <v>46051.416666666664</v>
      </c>
      <c r="C978" t="s">
        <v>11</v>
      </c>
      <c r="D978" t="s">
        <v>12</v>
      </c>
      <c r="E978" t="s">
        <v>21</v>
      </c>
      <c r="F978">
        <v>4</v>
      </c>
      <c r="G978" t="s">
        <v>14</v>
      </c>
      <c r="H978">
        <v>3.9</v>
      </c>
      <c r="I978">
        <v>1</v>
      </c>
      <c r="J978">
        <v>11</v>
      </c>
      <c r="K978" t="s">
        <v>19</v>
      </c>
      <c r="L978">
        <v>1</v>
      </c>
      <c r="M978" t="s">
        <v>31</v>
      </c>
      <c r="N978" t="s">
        <v>35</v>
      </c>
      <c r="O978">
        <v>1</v>
      </c>
    </row>
    <row r="979" spans="1:15" x14ac:dyDescent="0.2">
      <c r="A979" t="s">
        <v>1012</v>
      </c>
      <c r="B979" s="1">
        <v>46003.625</v>
      </c>
      <c r="C979" t="s">
        <v>22</v>
      </c>
      <c r="D979" t="s">
        <v>16</v>
      </c>
      <c r="E979" t="s">
        <v>13</v>
      </c>
      <c r="F979">
        <v>4</v>
      </c>
      <c r="G979" t="s">
        <v>14</v>
      </c>
      <c r="H979">
        <v>3.2</v>
      </c>
      <c r="I979">
        <v>12.9</v>
      </c>
      <c r="J979">
        <v>9</v>
      </c>
      <c r="K979" t="s">
        <v>19</v>
      </c>
      <c r="L979">
        <v>1</v>
      </c>
      <c r="M979" t="s">
        <v>31</v>
      </c>
      <c r="N979" t="s">
        <v>35</v>
      </c>
      <c r="O979">
        <v>1</v>
      </c>
    </row>
    <row r="980" spans="1:15" x14ac:dyDescent="0.2">
      <c r="A980" t="s">
        <v>1013</v>
      </c>
      <c r="B980" s="1">
        <v>46024.708333333336</v>
      </c>
      <c r="C980" t="s">
        <v>11</v>
      </c>
      <c r="D980" t="s">
        <v>17</v>
      </c>
      <c r="E980" t="s">
        <v>25</v>
      </c>
      <c r="F980">
        <v>2</v>
      </c>
      <c r="G980" t="s">
        <v>24</v>
      </c>
      <c r="H980">
        <v>4.0999999999999996</v>
      </c>
      <c r="I980">
        <v>16.3</v>
      </c>
      <c r="J980">
        <v>11</v>
      </c>
      <c r="K980" t="s">
        <v>15</v>
      </c>
      <c r="L980">
        <v>0</v>
      </c>
      <c r="M980" t="s">
        <v>31</v>
      </c>
      <c r="N980" t="s">
        <v>32</v>
      </c>
      <c r="O980">
        <v>1</v>
      </c>
    </row>
    <row r="981" spans="1:15" x14ac:dyDescent="0.2">
      <c r="A981" t="s">
        <v>1014</v>
      </c>
      <c r="B981" s="1">
        <v>46013.708333333336</v>
      </c>
      <c r="C981" t="s">
        <v>11</v>
      </c>
      <c r="D981" t="s">
        <v>17</v>
      </c>
      <c r="E981" t="s">
        <v>18</v>
      </c>
      <c r="F981">
        <v>4</v>
      </c>
      <c r="G981" t="s">
        <v>14</v>
      </c>
      <c r="H981">
        <v>5</v>
      </c>
      <c r="I981">
        <v>18.3</v>
      </c>
      <c r="J981">
        <v>9</v>
      </c>
      <c r="K981" t="s">
        <v>15</v>
      </c>
      <c r="L981">
        <v>0</v>
      </c>
      <c r="M981" t="s">
        <v>31</v>
      </c>
      <c r="N981" t="s">
        <v>32</v>
      </c>
      <c r="O981">
        <v>1</v>
      </c>
    </row>
    <row r="982" spans="1:15" x14ac:dyDescent="0.2">
      <c r="A982" t="s">
        <v>1015</v>
      </c>
      <c r="B982" s="1">
        <v>46042.375</v>
      </c>
      <c r="C982" t="s">
        <v>11</v>
      </c>
      <c r="D982" t="s">
        <v>12</v>
      </c>
      <c r="E982" t="s">
        <v>23</v>
      </c>
      <c r="F982">
        <v>5</v>
      </c>
      <c r="G982" t="s">
        <v>14</v>
      </c>
      <c r="H982">
        <v>6.4</v>
      </c>
      <c r="I982">
        <v>7</v>
      </c>
      <c r="J982">
        <v>9</v>
      </c>
      <c r="K982" t="s">
        <v>15</v>
      </c>
      <c r="L982">
        <v>0</v>
      </c>
      <c r="M982" t="s">
        <v>31</v>
      </c>
      <c r="N982" t="s">
        <v>32</v>
      </c>
      <c r="O982">
        <v>1</v>
      </c>
    </row>
    <row r="983" spans="1:15" x14ac:dyDescent="0.2">
      <c r="A983" t="s">
        <v>1016</v>
      </c>
      <c r="B983" s="1">
        <v>46057.541666666664</v>
      </c>
      <c r="C983" t="s">
        <v>11</v>
      </c>
      <c r="D983" t="s">
        <v>17</v>
      </c>
      <c r="E983" t="s">
        <v>13</v>
      </c>
      <c r="F983">
        <v>5</v>
      </c>
      <c r="G983" t="s">
        <v>14</v>
      </c>
      <c r="H983">
        <v>4.2</v>
      </c>
      <c r="I983">
        <v>7.2</v>
      </c>
      <c r="J983">
        <v>9</v>
      </c>
      <c r="K983" t="s">
        <v>15</v>
      </c>
      <c r="L983">
        <v>0</v>
      </c>
      <c r="M983" t="s">
        <v>31</v>
      </c>
      <c r="N983" t="s">
        <v>32</v>
      </c>
      <c r="O983">
        <v>1</v>
      </c>
    </row>
    <row r="984" spans="1:15" x14ac:dyDescent="0.2">
      <c r="A984" t="s">
        <v>1017</v>
      </c>
      <c r="B984" s="1">
        <v>45995.25</v>
      </c>
      <c r="C984" t="s">
        <v>20</v>
      </c>
      <c r="D984" t="s">
        <v>16</v>
      </c>
      <c r="E984" t="s">
        <v>25</v>
      </c>
      <c r="F984">
        <v>3</v>
      </c>
      <c r="G984" t="s">
        <v>26</v>
      </c>
      <c r="H984">
        <v>5.7</v>
      </c>
      <c r="I984">
        <v>7.9</v>
      </c>
      <c r="J984">
        <v>11</v>
      </c>
      <c r="K984" t="s">
        <v>15</v>
      </c>
      <c r="L984">
        <v>0</v>
      </c>
      <c r="M984" t="s">
        <v>31</v>
      </c>
      <c r="N984" t="s">
        <v>32</v>
      </c>
      <c r="O984">
        <v>1</v>
      </c>
    </row>
    <row r="985" spans="1:15" x14ac:dyDescent="0.2">
      <c r="A985" t="s">
        <v>1018</v>
      </c>
      <c r="B985" s="1">
        <v>46025.416666666664</v>
      </c>
      <c r="C985" t="s">
        <v>22</v>
      </c>
      <c r="D985" t="s">
        <v>16</v>
      </c>
      <c r="E985" t="s">
        <v>21</v>
      </c>
      <c r="F985">
        <v>3</v>
      </c>
      <c r="G985" t="s">
        <v>26</v>
      </c>
      <c r="H985">
        <v>8.3000000000000007</v>
      </c>
      <c r="I985">
        <v>16.8</v>
      </c>
      <c r="J985">
        <v>9</v>
      </c>
      <c r="K985" t="s">
        <v>15</v>
      </c>
      <c r="L985">
        <v>0</v>
      </c>
      <c r="M985" t="s">
        <v>31</v>
      </c>
      <c r="N985" t="s">
        <v>32</v>
      </c>
      <c r="O985">
        <v>1</v>
      </c>
    </row>
    <row r="986" spans="1:15" x14ac:dyDescent="0.2">
      <c r="A986" t="s">
        <v>1019</v>
      </c>
      <c r="B986" s="1">
        <v>46045.5</v>
      </c>
      <c r="C986" t="s">
        <v>11</v>
      </c>
      <c r="D986" t="s">
        <v>12</v>
      </c>
      <c r="E986" t="s">
        <v>23</v>
      </c>
      <c r="F986">
        <v>5</v>
      </c>
      <c r="G986" t="s">
        <v>14</v>
      </c>
      <c r="H986">
        <v>5.2</v>
      </c>
      <c r="I986">
        <v>20.8</v>
      </c>
      <c r="J986">
        <v>10</v>
      </c>
      <c r="K986" t="s">
        <v>15</v>
      </c>
      <c r="L986">
        <v>0</v>
      </c>
      <c r="M986" t="s">
        <v>31</v>
      </c>
      <c r="N986" t="s">
        <v>32</v>
      </c>
      <c r="O986">
        <v>1</v>
      </c>
    </row>
    <row r="987" spans="1:15" x14ac:dyDescent="0.2">
      <c r="A987" t="s">
        <v>1020</v>
      </c>
      <c r="B987" s="1">
        <v>46017.333333333336</v>
      </c>
      <c r="C987" t="s">
        <v>11</v>
      </c>
      <c r="D987" t="s">
        <v>12</v>
      </c>
      <c r="E987" t="s">
        <v>18</v>
      </c>
      <c r="F987">
        <v>5</v>
      </c>
      <c r="G987" t="s">
        <v>14</v>
      </c>
      <c r="H987">
        <v>5</v>
      </c>
      <c r="I987">
        <v>9.1999999999999993</v>
      </c>
      <c r="J987">
        <v>10</v>
      </c>
      <c r="K987" t="s">
        <v>15</v>
      </c>
      <c r="L987">
        <v>0</v>
      </c>
      <c r="M987" t="s">
        <v>31</v>
      </c>
      <c r="N987" t="s">
        <v>32</v>
      </c>
      <c r="O987">
        <v>1</v>
      </c>
    </row>
    <row r="988" spans="1:15" x14ac:dyDescent="0.2">
      <c r="A988" t="s">
        <v>1021</v>
      </c>
      <c r="B988" s="1">
        <v>46028.791666666664</v>
      </c>
      <c r="C988" t="s">
        <v>11</v>
      </c>
      <c r="D988" t="s">
        <v>16</v>
      </c>
      <c r="E988" t="s">
        <v>13</v>
      </c>
      <c r="F988">
        <v>2</v>
      </c>
      <c r="G988" t="s">
        <v>24</v>
      </c>
      <c r="H988">
        <v>0.4</v>
      </c>
      <c r="I988">
        <v>19.8</v>
      </c>
      <c r="J988">
        <v>10</v>
      </c>
      <c r="K988" t="s">
        <v>19</v>
      </c>
      <c r="L988">
        <v>1</v>
      </c>
      <c r="M988" t="s">
        <v>31</v>
      </c>
      <c r="N988" t="s">
        <v>41</v>
      </c>
      <c r="O988">
        <v>1</v>
      </c>
    </row>
    <row r="989" spans="1:15" x14ac:dyDescent="0.2">
      <c r="A989" t="s">
        <v>1022</v>
      </c>
      <c r="B989" s="1">
        <v>46056.208333333336</v>
      </c>
      <c r="C989" t="s">
        <v>11</v>
      </c>
      <c r="D989" t="s">
        <v>16</v>
      </c>
      <c r="E989" t="s">
        <v>23</v>
      </c>
      <c r="F989">
        <v>4</v>
      </c>
      <c r="G989" t="s">
        <v>14</v>
      </c>
      <c r="H989">
        <v>0.1</v>
      </c>
      <c r="I989">
        <v>13.5</v>
      </c>
      <c r="J989">
        <v>10</v>
      </c>
      <c r="K989" t="s">
        <v>19</v>
      </c>
      <c r="L989">
        <v>1</v>
      </c>
      <c r="M989" t="s">
        <v>31</v>
      </c>
      <c r="N989" t="s">
        <v>41</v>
      </c>
      <c r="O989">
        <v>1</v>
      </c>
    </row>
    <row r="990" spans="1:15" x14ac:dyDescent="0.2">
      <c r="A990" t="s">
        <v>1023</v>
      </c>
      <c r="B990" s="1">
        <v>46064.666666666664</v>
      </c>
      <c r="C990" t="s">
        <v>11</v>
      </c>
      <c r="D990" t="s">
        <v>16</v>
      </c>
      <c r="E990" t="s">
        <v>25</v>
      </c>
      <c r="F990">
        <v>4</v>
      </c>
      <c r="G990" t="s">
        <v>14</v>
      </c>
      <c r="H990">
        <v>5.2</v>
      </c>
      <c r="I990">
        <v>11.5</v>
      </c>
      <c r="J990">
        <v>11</v>
      </c>
      <c r="K990" t="s">
        <v>15</v>
      </c>
      <c r="L990">
        <v>0</v>
      </c>
      <c r="M990" t="s">
        <v>31</v>
      </c>
      <c r="N990" t="s">
        <v>32</v>
      </c>
      <c r="O990">
        <v>1</v>
      </c>
    </row>
    <row r="991" spans="1:15" x14ac:dyDescent="0.2">
      <c r="A991" t="s">
        <v>1024</v>
      </c>
      <c r="B991" s="1">
        <v>46075.166666666664</v>
      </c>
      <c r="C991" t="s">
        <v>11</v>
      </c>
      <c r="D991" t="s">
        <v>16</v>
      </c>
      <c r="E991" t="s">
        <v>21</v>
      </c>
      <c r="F991">
        <v>5</v>
      </c>
      <c r="G991" t="s">
        <v>14</v>
      </c>
      <c r="H991">
        <v>4</v>
      </c>
      <c r="I991">
        <v>10.8</v>
      </c>
      <c r="J991">
        <v>12</v>
      </c>
      <c r="K991" t="s">
        <v>15</v>
      </c>
      <c r="L991">
        <v>0</v>
      </c>
      <c r="M991" t="s">
        <v>31</v>
      </c>
      <c r="N991" t="s">
        <v>35</v>
      </c>
      <c r="O991">
        <v>1</v>
      </c>
    </row>
    <row r="992" spans="1:15" x14ac:dyDescent="0.2">
      <c r="A992" t="s">
        <v>1025</v>
      </c>
      <c r="B992" s="1">
        <v>46020.541666666664</v>
      </c>
      <c r="C992" t="s">
        <v>11</v>
      </c>
      <c r="D992" t="s">
        <v>17</v>
      </c>
      <c r="E992" t="s">
        <v>13</v>
      </c>
      <c r="F992">
        <v>2</v>
      </c>
      <c r="G992" t="s">
        <v>24</v>
      </c>
      <c r="H992">
        <v>2.9</v>
      </c>
      <c r="I992">
        <v>18.5</v>
      </c>
      <c r="J992">
        <v>12</v>
      </c>
      <c r="K992" t="s">
        <v>19</v>
      </c>
      <c r="L992">
        <v>1</v>
      </c>
      <c r="M992" t="s">
        <v>31</v>
      </c>
      <c r="N992" t="s">
        <v>35</v>
      </c>
      <c r="O992">
        <v>1</v>
      </c>
    </row>
    <row r="993" spans="1:15" x14ac:dyDescent="0.2">
      <c r="A993" t="s">
        <v>1026</v>
      </c>
      <c r="B993" s="1">
        <v>46011.875</v>
      </c>
      <c r="C993" t="s">
        <v>11</v>
      </c>
      <c r="D993" t="s">
        <v>12</v>
      </c>
      <c r="E993" t="s">
        <v>21</v>
      </c>
      <c r="F993">
        <v>3</v>
      </c>
      <c r="G993" t="s">
        <v>26</v>
      </c>
      <c r="H993">
        <v>4.8</v>
      </c>
      <c r="I993">
        <v>15.1</v>
      </c>
      <c r="J993">
        <v>10</v>
      </c>
      <c r="K993" t="s">
        <v>15</v>
      </c>
      <c r="L993">
        <v>0</v>
      </c>
      <c r="M993" t="s">
        <v>31</v>
      </c>
      <c r="N993" t="s">
        <v>32</v>
      </c>
      <c r="O993">
        <v>1</v>
      </c>
    </row>
    <row r="994" spans="1:15" x14ac:dyDescent="0.2">
      <c r="A994" t="s">
        <v>1027</v>
      </c>
      <c r="B994" s="1">
        <v>46015.875</v>
      </c>
      <c r="C994" t="s">
        <v>11</v>
      </c>
      <c r="D994" t="s">
        <v>16</v>
      </c>
      <c r="E994" t="s">
        <v>25</v>
      </c>
      <c r="F994">
        <v>5</v>
      </c>
      <c r="G994" t="s">
        <v>14</v>
      </c>
      <c r="H994">
        <v>4</v>
      </c>
      <c r="I994">
        <v>30.7</v>
      </c>
      <c r="J994">
        <v>12</v>
      </c>
      <c r="K994" t="s">
        <v>15</v>
      </c>
      <c r="L994">
        <v>0</v>
      </c>
      <c r="M994" t="s">
        <v>55</v>
      </c>
      <c r="N994" t="s">
        <v>35</v>
      </c>
      <c r="O994">
        <v>1</v>
      </c>
    </row>
    <row r="995" spans="1:15" x14ac:dyDescent="0.2">
      <c r="A995" t="s">
        <v>1028</v>
      </c>
      <c r="B995" s="1">
        <v>46045.916666666664</v>
      </c>
      <c r="C995" t="s">
        <v>11</v>
      </c>
      <c r="D995" t="s">
        <v>12</v>
      </c>
      <c r="E995" t="s">
        <v>23</v>
      </c>
      <c r="F995">
        <v>2</v>
      </c>
      <c r="G995" t="s">
        <v>24</v>
      </c>
      <c r="H995">
        <v>7</v>
      </c>
      <c r="I995">
        <v>5.7</v>
      </c>
      <c r="J995">
        <v>10</v>
      </c>
      <c r="K995" t="s">
        <v>15</v>
      </c>
      <c r="L995">
        <v>0</v>
      </c>
      <c r="M995" t="s">
        <v>31</v>
      </c>
      <c r="N995" t="s">
        <v>32</v>
      </c>
      <c r="O995">
        <v>1</v>
      </c>
    </row>
    <row r="996" spans="1:15" x14ac:dyDescent="0.2">
      <c r="A996" t="s">
        <v>1029</v>
      </c>
      <c r="B996" s="1">
        <v>46061.666666666664</v>
      </c>
      <c r="C996" t="s">
        <v>11</v>
      </c>
      <c r="D996" t="s">
        <v>17</v>
      </c>
      <c r="E996" t="s">
        <v>13</v>
      </c>
      <c r="F996">
        <v>4</v>
      </c>
      <c r="G996" t="s">
        <v>14</v>
      </c>
      <c r="H996">
        <v>4.4000000000000004</v>
      </c>
      <c r="I996">
        <v>16.600000000000001</v>
      </c>
      <c r="J996">
        <v>10</v>
      </c>
      <c r="K996" t="s">
        <v>15</v>
      </c>
      <c r="L996">
        <v>0</v>
      </c>
      <c r="M996" t="s">
        <v>31</v>
      </c>
      <c r="N996" t="s">
        <v>32</v>
      </c>
      <c r="O996">
        <v>1</v>
      </c>
    </row>
    <row r="997" spans="1:15" x14ac:dyDescent="0.2">
      <c r="A997" t="s">
        <v>1030</v>
      </c>
      <c r="B997" s="1">
        <v>46024.333333333336</v>
      </c>
      <c r="C997" t="s">
        <v>20</v>
      </c>
      <c r="D997" t="s">
        <v>16</v>
      </c>
      <c r="E997" t="s">
        <v>21</v>
      </c>
      <c r="F997">
        <v>4</v>
      </c>
      <c r="G997" t="s">
        <v>14</v>
      </c>
      <c r="H997">
        <v>2.2999999999999998</v>
      </c>
      <c r="I997">
        <v>8.3000000000000007</v>
      </c>
      <c r="J997">
        <v>12</v>
      </c>
      <c r="K997" t="s">
        <v>19</v>
      </c>
      <c r="L997">
        <v>1</v>
      </c>
      <c r="M997" t="s">
        <v>31</v>
      </c>
      <c r="N997" t="s">
        <v>35</v>
      </c>
      <c r="O997">
        <v>1</v>
      </c>
    </row>
    <row r="998" spans="1:15" x14ac:dyDescent="0.2">
      <c r="A998" t="s">
        <v>1031</v>
      </c>
      <c r="B998" s="1">
        <v>46063.458333333336</v>
      </c>
      <c r="C998" t="s">
        <v>11</v>
      </c>
      <c r="D998" t="s">
        <v>17</v>
      </c>
      <c r="E998" t="s">
        <v>13</v>
      </c>
      <c r="F998">
        <v>4</v>
      </c>
      <c r="G998" t="s">
        <v>14</v>
      </c>
      <c r="H998">
        <v>6.7</v>
      </c>
      <c r="I998">
        <v>5.5</v>
      </c>
      <c r="J998">
        <v>12</v>
      </c>
      <c r="K998" t="s">
        <v>15</v>
      </c>
      <c r="L998">
        <v>0</v>
      </c>
      <c r="M998" t="s">
        <v>31</v>
      </c>
      <c r="N998" t="s">
        <v>32</v>
      </c>
      <c r="O998">
        <v>1</v>
      </c>
    </row>
    <row r="999" spans="1:15" x14ac:dyDescent="0.2">
      <c r="A999" t="s">
        <v>1032</v>
      </c>
      <c r="B999" s="1">
        <v>46070.708333333336</v>
      </c>
      <c r="C999" t="s">
        <v>20</v>
      </c>
      <c r="D999" t="s">
        <v>12</v>
      </c>
      <c r="E999" t="s">
        <v>23</v>
      </c>
      <c r="F999">
        <v>4</v>
      </c>
      <c r="G999" t="s">
        <v>14</v>
      </c>
      <c r="H999">
        <v>3.7</v>
      </c>
      <c r="I999">
        <v>12.4</v>
      </c>
      <c r="J999">
        <v>9</v>
      </c>
      <c r="K999" t="s">
        <v>19</v>
      </c>
      <c r="L999">
        <v>1</v>
      </c>
      <c r="M999" t="s">
        <v>31</v>
      </c>
      <c r="N999" t="s">
        <v>35</v>
      </c>
      <c r="O999">
        <v>1</v>
      </c>
    </row>
    <row r="1000" spans="1:15" x14ac:dyDescent="0.2">
      <c r="A1000" t="s">
        <v>1033</v>
      </c>
      <c r="B1000" s="1">
        <v>46024.541666666664</v>
      </c>
      <c r="C1000" t="s">
        <v>11</v>
      </c>
      <c r="D1000" t="s">
        <v>12</v>
      </c>
      <c r="E1000" t="s">
        <v>13</v>
      </c>
      <c r="F1000">
        <v>4</v>
      </c>
      <c r="G1000" t="s">
        <v>14</v>
      </c>
      <c r="H1000">
        <v>5.5</v>
      </c>
      <c r="I1000">
        <v>13.6</v>
      </c>
      <c r="J1000">
        <v>10</v>
      </c>
      <c r="K1000" t="s">
        <v>15</v>
      </c>
      <c r="L1000">
        <v>0</v>
      </c>
      <c r="M1000" t="s">
        <v>31</v>
      </c>
      <c r="N1000" t="s">
        <v>32</v>
      </c>
      <c r="O1000">
        <v>1</v>
      </c>
    </row>
    <row r="1001" spans="1:15" x14ac:dyDescent="0.2">
      <c r="A1001" t="s">
        <v>1034</v>
      </c>
      <c r="B1001" s="1">
        <v>46078.458333333336</v>
      </c>
      <c r="C1001" t="s">
        <v>11</v>
      </c>
      <c r="D1001" t="s">
        <v>12</v>
      </c>
      <c r="E1001" t="s">
        <v>21</v>
      </c>
      <c r="F1001">
        <v>3</v>
      </c>
      <c r="G1001" t="s">
        <v>26</v>
      </c>
      <c r="H1001">
        <v>3</v>
      </c>
      <c r="I1001">
        <v>35.799999999999997</v>
      </c>
      <c r="J1001">
        <v>12</v>
      </c>
      <c r="K1001" t="s">
        <v>19</v>
      </c>
      <c r="L1001">
        <v>1</v>
      </c>
      <c r="M1001" t="s">
        <v>55</v>
      </c>
      <c r="N1001" t="s">
        <v>35</v>
      </c>
      <c r="O1001">
        <v>1</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F755E-318C-2C46-8311-0ABD7A2ECD79}">
  <dimension ref="A2:E5"/>
  <sheetViews>
    <sheetView showGridLines="0" zoomScale="86" zoomScaleNormal="100" workbookViewId="0">
      <selection activeCell="I16" sqref="I16"/>
    </sheetView>
  </sheetViews>
  <sheetFormatPr baseColWidth="10" defaultRowHeight="16" x14ac:dyDescent="0.2"/>
  <cols>
    <col min="1" max="1" width="37.1640625" customWidth="1"/>
    <col min="2" max="2" width="22.6640625" customWidth="1"/>
    <col min="3" max="3" width="37.6640625" customWidth="1"/>
    <col min="4" max="4" width="23.83203125" customWidth="1"/>
    <col min="5" max="5" width="39.5" customWidth="1"/>
    <col min="6" max="6" width="20.1640625" bestFit="1" customWidth="1"/>
    <col min="8" max="8" width="21.5" customWidth="1"/>
    <col min="9" max="9" width="18.1640625" customWidth="1"/>
    <col min="11" max="11" width="13" bestFit="1" customWidth="1"/>
    <col min="12" max="12" width="18.1640625" bestFit="1" customWidth="1"/>
  </cols>
  <sheetData>
    <row r="2" spans="1:5" ht="52" customHeight="1" x14ac:dyDescent="0.2">
      <c r="C2" s="11" t="s">
        <v>1047</v>
      </c>
    </row>
    <row r="4" spans="1:5" ht="19" x14ac:dyDescent="0.25">
      <c r="A4" s="7" t="s">
        <v>1044</v>
      </c>
      <c r="C4" s="7" t="s">
        <v>1045</v>
      </c>
      <c r="E4" s="7" t="s">
        <v>1046</v>
      </c>
    </row>
    <row r="5" spans="1:5" ht="37" x14ac:dyDescent="0.45">
      <c r="A5" s="8">
        <f>GETPIVOTDATA("Sum of SLA%",DATA!$A$2)</f>
        <v>0.45700000000000002</v>
      </c>
      <c r="C5" s="9">
        <f>GETPIVOTDATA("CSAT_Score",DATA!$F$8)</f>
        <v>4.0289999999999999</v>
      </c>
      <c r="E5" s="10">
        <f>GETPIVOTDATA("ResolutionTimeHrs",DATA!$E$8)</f>
        <v>12.553099999999992</v>
      </c>
    </row>
  </sheetData>
  <sortState xmlns:xlrd2="http://schemas.microsoft.com/office/spreadsheetml/2017/richdata2" ref="E2:F7">
    <sortCondition descending="1" ref="E4"/>
  </sortState>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3609C4-27E9-3340-8360-6E6E19E5C189}">
  <dimension ref="A2:I14"/>
  <sheetViews>
    <sheetView workbookViewId="0">
      <selection activeCell="E26" sqref="E26"/>
    </sheetView>
  </sheetViews>
  <sheetFormatPr baseColWidth="10" defaultRowHeight="16" x14ac:dyDescent="0.2"/>
  <cols>
    <col min="1" max="1" width="14.6640625" bestFit="1" customWidth="1"/>
    <col min="2" max="2" width="18.1640625" bestFit="1" customWidth="1"/>
    <col min="3" max="3" width="11.83203125" bestFit="1" customWidth="1"/>
    <col min="5" max="5" width="13" bestFit="1" customWidth="1"/>
    <col min="6" max="6" width="15.33203125" bestFit="1" customWidth="1"/>
    <col min="8" max="8" width="13" bestFit="1" customWidth="1"/>
    <col min="9" max="9" width="18.1640625" bestFit="1" customWidth="1"/>
  </cols>
  <sheetData>
    <row r="2" spans="1:9" x14ac:dyDescent="0.2">
      <c r="A2" t="s">
        <v>1036</v>
      </c>
      <c r="B2" t="s">
        <v>1037</v>
      </c>
      <c r="C2" t="s">
        <v>1038</v>
      </c>
      <c r="E2" s="3" t="s">
        <v>1039</v>
      </c>
      <c r="F2" t="s">
        <v>1041</v>
      </c>
      <c r="H2" s="3" t="s">
        <v>1039</v>
      </c>
      <c r="I2" t="s">
        <v>1041</v>
      </c>
    </row>
    <row r="3" spans="1:9" x14ac:dyDescent="0.2">
      <c r="A3">
        <v>457</v>
      </c>
      <c r="B3">
        <v>1000</v>
      </c>
      <c r="C3" s="2">
        <v>0.45700000000000002</v>
      </c>
      <c r="E3" s="4" t="s">
        <v>14</v>
      </c>
      <c r="F3">
        <v>740</v>
      </c>
      <c r="H3" s="4" t="s">
        <v>25</v>
      </c>
      <c r="I3">
        <v>186</v>
      </c>
    </row>
    <row r="4" spans="1:9" x14ac:dyDescent="0.2">
      <c r="E4" s="4" t="s">
        <v>26</v>
      </c>
      <c r="F4">
        <v>132</v>
      </c>
      <c r="H4" s="4" t="s">
        <v>18</v>
      </c>
      <c r="I4">
        <v>101</v>
      </c>
    </row>
    <row r="5" spans="1:9" x14ac:dyDescent="0.2">
      <c r="E5" s="4" t="s">
        <v>24</v>
      </c>
      <c r="F5">
        <v>128</v>
      </c>
      <c r="H5" s="4" t="s">
        <v>21</v>
      </c>
      <c r="I5">
        <v>159</v>
      </c>
    </row>
    <row r="6" spans="1:9" x14ac:dyDescent="0.2">
      <c r="A6" s="3" t="s">
        <v>1039</v>
      </c>
      <c r="B6" t="s">
        <v>1038</v>
      </c>
      <c r="E6" s="4" t="s">
        <v>1040</v>
      </c>
      <c r="F6">
        <v>1000</v>
      </c>
      <c r="H6" s="4" t="s">
        <v>13</v>
      </c>
      <c r="I6">
        <v>298</v>
      </c>
    </row>
    <row r="7" spans="1:9" x14ac:dyDescent="0.2">
      <c r="A7" s="4">
        <v>9</v>
      </c>
      <c r="B7" s="2">
        <v>0.44206008583690987</v>
      </c>
      <c r="H7" s="4" t="s">
        <v>23</v>
      </c>
      <c r="I7">
        <v>256</v>
      </c>
    </row>
    <row r="8" spans="1:9" x14ac:dyDescent="0.2">
      <c r="A8" s="4">
        <v>10</v>
      </c>
      <c r="B8" s="2">
        <v>0.49382716049382713</v>
      </c>
      <c r="E8" t="s">
        <v>1042</v>
      </c>
      <c r="F8" t="s">
        <v>1043</v>
      </c>
      <c r="H8" s="4" t="s">
        <v>1040</v>
      </c>
      <c r="I8">
        <v>1000</v>
      </c>
    </row>
    <row r="9" spans="1:9" x14ac:dyDescent="0.2">
      <c r="A9" s="4">
        <v>11</v>
      </c>
      <c r="B9" s="2">
        <v>0.42471042471042469</v>
      </c>
      <c r="E9" s="6">
        <v>12.553099999999992</v>
      </c>
      <c r="F9" s="5">
        <v>4.0289999999999999</v>
      </c>
    </row>
    <row r="10" spans="1:9" x14ac:dyDescent="0.2">
      <c r="A10" s="4">
        <v>12</v>
      </c>
      <c r="B10" s="2">
        <v>0.4679245283018868</v>
      </c>
      <c r="H10" s="3" t="s">
        <v>1039</v>
      </c>
      <c r="I10" t="s">
        <v>1037</v>
      </c>
    </row>
    <row r="11" spans="1:9" x14ac:dyDescent="0.2">
      <c r="A11" s="4" t="s">
        <v>1040</v>
      </c>
      <c r="B11" s="2">
        <v>0.45700000000000002</v>
      </c>
      <c r="H11" s="4" t="s">
        <v>11</v>
      </c>
      <c r="I11">
        <v>775</v>
      </c>
    </row>
    <row r="12" spans="1:9" x14ac:dyDescent="0.2">
      <c r="H12" s="4" t="s">
        <v>22</v>
      </c>
      <c r="I12">
        <v>82</v>
      </c>
    </row>
    <row r="13" spans="1:9" x14ac:dyDescent="0.2">
      <c r="H13" s="4" t="s">
        <v>20</v>
      </c>
      <c r="I13">
        <v>143</v>
      </c>
    </row>
    <row r="14" spans="1:9" x14ac:dyDescent="0.2">
      <c r="H14" s="4" t="s">
        <v>1040</v>
      </c>
      <c r="I14">
        <v>1000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428754A-6FDD-D541-A018-B07F3C44DCE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customer_tickets</vt:lpstr>
      <vt:lpstr>DASHBOARD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Suhasini Shyamsunder Pillay (Umail)</dc:creator>
  <cp:lastModifiedBy>Suhasini Shyamsunder Pillay (Umail)</cp:lastModifiedBy>
  <dcterms:created xsi:type="dcterms:W3CDTF">2026-03-19T19:22:05Z</dcterms:created>
  <dcterms:modified xsi:type="dcterms:W3CDTF">2026-03-21T21:28:54Z</dcterms:modified>
</cp:coreProperties>
</file>